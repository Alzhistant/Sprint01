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prad\Downloads\"/>
    </mc:Choice>
  </mc:AlternateContent>
  <xr:revisionPtr revIDLastSave="0" documentId="13_ncr:1_{0E1B9FF9-B4D0-43B9-AD89-4F40D27A9CCF}" xr6:coauthVersionLast="45" xr6:coauthVersionMax="45" xr10:uidLastSave="{00000000-0000-0000-0000-000000000000}"/>
  <bookViews>
    <workbookView xWindow="-108" yWindow="-108" windowWidth="23256" windowHeight="12576" tabRatio="522" activeTab="3" xr2:uid="{00000000-000D-0000-FFFF-FFFF00000000}"/>
  </bookViews>
  <sheets>
    <sheet name="Release Plan" sheetId="7" r:id="rId1"/>
    <sheet name="Product Backlog" sheetId="8" r:id="rId2"/>
    <sheet name="Historias de usuario" sheetId="25" r:id="rId3"/>
    <sheet name="Backlog oficial" sheetId="16" r:id="rId4"/>
    <sheet name="Backlog de ejemplo" sheetId="26" r:id="rId5"/>
  </sheets>
  <definedNames>
    <definedName name="_xlnm.Print_Area" localSheetId="1">'Product Backlog'!$A:$G</definedName>
    <definedName name="AverageSpeedLastEight" localSheetId="4">OFFSET(#REF!,1,0,#REF!,1)</definedName>
    <definedName name="AverageSpeedLastEight">OFFSET(#REF!,1,0,#REF!,1)</definedName>
    <definedName name="AverageSpeedRealized">OFFSET(#REF!,1,0,#REF!,1)</definedName>
    <definedName name="AverageSpeedWorstThree">OFFSET(#REF!,1,0,#REF!,1)</definedName>
    <definedName name="ColBottomCurrentScope">OFFSET(#REF!,1,0,#REF!,1)</definedName>
    <definedName name="ColTopRemainingWork">OFFSET(#REF!,1,0,#REF!,1)</definedName>
    <definedName name="DoneDays" localSheetId="4">'Backlog de ejemplo'!$D$11</definedName>
    <definedName name="DoneDays" localSheetId="3">'Backlog oficial'!$D$11</definedName>
    <definedName name="DoneDays">#REF!</definedName>
    <definedName name="ImplementationDays" localSheetId="4">'Backlog de ejemplo'!$B$9</definedName>
    <definedName name="ImplementationDays" localSheetId="3">'Backlog oficial'!$B$9</definedName>
    <definedName name="ImplementationDays">#REF!</definedName>
    <definedName name="LastEight" localSheetId="4">IF(#REF!&gt;8,OFFSET(#REF!,#REF!-7,0,8,1),OFFSET(#REF!,1,0,#REF!-1,1))</definedName>
    <definedName name="LastEight">IF(#REF!&gt;8,OFFSET(#REF!,#REF!-7,0,8,1),OFFSET(#REF!,1,0,#REF!-1,1))</definedName>
    <definedName name="LastPlanned">IF(OFFSET(#REF!,1,0,1,1)="",1,OFFSET(#REF!,#REF!,0,1,1))</definedName>
    <definedName name="LastRealized">IF(OFFSET(#REF!,1,0,1,1)="",1,OFFSET(#REF!,#REF!,0,1,1))</definedName>
    <definedName name="PBCurrentBottom">OFFSET(#REF!,1,0,#REF!,1)</definedName>
    <definedName name="PBTrend">OFFSET(#REF!,1,0,#REF!,1)</definedName>
    <definedName name="PlannedSpeed">OFFSET(#REF!,1,0,#REF!,1)</definedName>
    <definedName name="ProductBacklog">'Product Backlog'!$A$4:$G$163</definedName>
    <definedName name="RealizedSpeed">OFFSET(#REF!,1,0,#REF!,1)</definedName>
    <definedName name="RealValues" localSheetId="4">OFFSET('Backlog de ejemplo'!$F$10,0,0,1,'Backlog de ejemplo'!DoneDays)</definedName>
    <definedName name="RealValues" localSheetId="3">OFFSET('Backlog oficial'!$F$10,0,0,1,'Backlog oficial'!DoneDays)</definedName>
    <definedName name="Sprint">'Product Backlog'!$E$5:$E$163</definedName>
    <definedName name="SprintCount">#REF!</definedName>
    <definedName name="SprintsInTrend">#REF!</definedName>
    <definedName name="SprintTasks" localSheetId="4">'Backlog de ejemplo'!$A$14:$AD$63</definedName>
    <definedName name="SprintTasks">'Backlog oficial'!$A$14:$AD$66</definedName>
    <definedName name="Status">'Product Backlog'!$C$5:$C$163</definedName>
    <definedName name="StoryName">'Product Backlog'!$B$5:$B$163</definedName>
    <definedName name="TaskRows" localSheetId="4">'Backlog de ejemplo'!$B$11</definedName>
    <definedName name="TaskRows" localSheetId="3">'Backlog oficial'!$B$11</definedName>
    <definedName name="TaskRows">#REF!</definedName>
    <definedName name="TaskStatus" localSheetId="4">'Backlog de ejemplo'!$D$14:$D$58</definedName>
    <definedName name="TaskStatus">'Backlog oficial'!$D$14:$D$60</definedName>
    <definedName name="TaskStoryID" localSheetId="4">'Backlog de ejemplo'!$B$14:$B$53</definedName>
    <definedName name="TaskStoryID">'Backlog oficial'!$B$14:$B$55</definedName>
    <definedName name="TotalEffort" localSheetId="4">'Backlog de ejemplo'!$E$10</definedName>
    <definedName name="TotalEffort" localSheetId="3">'Backlog oficial'!$E$10</definedName>
    <definedName name="TotalEffort">#REF!</definedName>
    <definedName name="TrendDays" localSheetId="4">'Backlog de ejemplo'!$D$13</definedName>
    <definedName name="TrendDays">'Backlog oficial'!$D$13</definedName>
    <definedName name="TrendOffset">#REF!</definedName>
    <definedName name="TrendSprintCoun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4" i="26" l="1"/>
  <c r="G59" i="26"/>
  <c r="F59" i="26"/>
  <c r="D59" i="26"/>
  <c r="F58" i="26"/>
  <c r="D58" i="26"/>
  <c r="F57" i="26"/>
  <c r="D57" i="26"/>
  <c r="F56" i="26"/>
  <c r="D56" i="26"/>
  <c r="F55" i="26"/>
  <c r="D55" i="26"/>
  <c r="F54" i="26"/>
  <c r="D54" i="26"/>
  <c r="F53" i="26"/>
  <c r="D53" i="26"/>
  <c r="F52" i="26"/>
  <c r="D52" i="26"/>
  <c r="F51" i="26"/>
  <c r="D51" i="26"/>
  <c r="F50" i="26"/>
  <c r="D50" i="26"/>
  <c r="F49" i="26"/>
  <c r="D49" i="26"/>
  <c r="F48" i="26"/>
  <c r="D48" i="26"/>
  <c r="F47" i="26"/>
  <c r="D47" i="26"/>
  <c r="F46" i="26"/>
  <c r="D46" i="26"/>
  <c r="F45" i="26"/>
  <c r="D45" i="26"/>
  <c r="F44" i="26"/>
  <c r="D44" i="26"/>
  <c r="F43" i="26"/>
  <c r="D43" i="26"/>
  <c r="F42" i="26"/>
  <c r="D42" i="26"/>
  <c r="F41" i="26"/>
  <c r="D41" i="26"/>
  <c r="F40" i="26"/>
  <c r="D40" i="26"/>
  <c r="F39" i="26"/>
  <c r="D39" i="26"/>
  <c r="F38" i="26"/>
  <c r="D38" i="26"/>
  <c r="F37" i="26"/>
  <c r="D37" i="26"/>
  <c r="D36" i="26"/>
  <c r="D35" i="26"/>
  <c r="D34" i="26"/>
  <c r="F33" i="26"/>
  <c r="D33" i="26"/>
  <c r="F32" i="26"/>
  <c r="D32" i="26"/>
  <c r="D31" i="26"/>
  <c r="D30" i="26"/>
  <c r="D29" i="26"/>
  <c r="D28" i="26"/>
  <c r="F27" i="26"/>
  <c r="D27" i="26"/>
  <c r="F26" i="26"/>
  <c r="D26" i="26"/>
  <c r="F25" i="26"/>
  <c r="D25" i="26"/>
  <c r="H24" i="26"/>
  <c r="F24" i="26"/>
  <c r="G23" i="26"/>
  <c r="H23" i="26" s="1"/>
  <c r="F23" i="26"/>
  <c r="F22" i="26"/>
  <c r="F21" i="26"/>
  <c r="G20" i="26"/>
  <c r="H20" i="26" s="1"/>
  <c r="F20" i="26"/>
  <c r="F19" i="26"/>
  <c r="F18" i="26"/>
  <c r="F17" i="26"/>
  <c r="F16" i="26"/>
  <c r="F15" i="26"/>
  <c r="H14" i="26"/>
  <c r="H58" i="26" s="1"/>
  <c r="G14" i="26"/>
  <c r="G58" i="26" s="1"/>
  <c r="B11" i="26"/>
  <c r="Y10" i="26" s="1"/>
  <c r="AB10" i="26"/>
  <c r="AA10" i="26"/>
  <c r="Z10" i="26"/>
  <c r="T10" i="26"/>
  <c r="S10" i="26"/>
  <c r="R10" i="26"/>
  <c r="H59" i="26" l="1"/>
  <c r="E10" i="26"/>
  <c r="M10" i="26"/>
  <c r="U10" i="26"/>
  <c r="H22" i="26"/>
  <c r="H10" i="26" s="1"/>
  <c r="H33" i="26"/>
  <c r="F10" i="26"/>
  <c r="H28" i="26"/>
  <c r="H32" i="26"/>
  <c r="N10" i="26"/>
  <c r="G10" i="26"/>
  <c r="O10" i="26"/>
  <c r="W10" i="26"/>
  <c r="I14" i="26"/>
  <c r="V10" i="26"/>
  <c r="H27" i="26"/>
  <c r="P10" i="26"/>
  <c r="X10" i="26"/>
  <c r="Q10" i="26"/>
  <c r="H26" i="26"/>
  <c r="H25" i="26"/>
  <c r="I58" i="26" l="1"/>
  <c r="J14" i="26"/>
  <c r="I59" i="26"/>
  <c r="I23" i="26"/>
  <c r="I20" i="26"/>
  <c r="I10" i="26" s="1"/>
  <c r="I11" i="26"/>
  <c r="H11" i="26"/>
  <c r="G11" i="26"/>
  <c r="F11" i="26"/>
  <c r="J25" i="26" l="1"/>
  <c r="J26" i="26"/>
  <c r="J27" i="26"/>
  <c r="K14" i="26"/>
  <c r="J32" i="26"/>
  <c r="J28" i="26"/>
  <c r="J59" i="26"/>
  <c r="J33" i="26"/>
  <c r="J23" i="26"/>
  <c r="J22" i="26"/>
  <c r="J20" i="26"/>
  <c r="J10" i="26" s="1"/>
  <c r="J24" i="26"/>
  <c r="J11" i="26"/>
  <c r="J58" i="26"/>
  <c r="L14" i="26" l="1"/>
  <c r="K23" i="26"/>
  <c r="K10" i="26" s="1"/>
  <c r="K59" i="26"/>
  <c r="K11" i="26"/>
  <c r="K58" i="26"/>
  <c r="L26" i="26" l="1"/>
  <c r="L27" i="26"/>
  <c r="L23" i="26"/>
  <c r="L22" i="26"/>
  <c r="L59" i="26"/>
  <c r="L32" i="26"/>
  <c r="L28" i="26"/>
  <c r="L33" i="26"/>
  <c r="L11" i="26"/>
  <c r="L58" i="26"/>
  <c r="L25" i="26"/>
  <c r="M14" i="26"/>
  <c r="L10" i="26" l="1"/>
  <c r="M59" i="26"/>
  <c r="M11" i="26"/>
  <c r="M58" i="26"/>
  <c r="N14" i="26"/>
  <c r="N59" i="26" l="1"/>
  <c r="N11" i="26"/>
  <c r="N58" i="26"/>
  <c r="O14" i="26"/>
  <c r="O59" i="26" l="1"/>
  <c r="O11" i="26"/>
  <c r="O58" i="26"/>
  <c r="P14" i="26"/>
  <c r="P58" i="26" l="1"/>
  <c r="Q14" i="26"/>
  <c r="P11" i="26"/>
  <c r="P59" i="26"/>
  <c r="Q58" i="26" l="1"/>
  <c r="R14" i="26"/>
  <c r="Q11" i="26"/>
  <c r="Q59" i="26"/>
  <c r="S14" i="26" l="1"/>
  <c r="R59" i="26"/>
  <c r="R11" i="26"/>
  <c r="R58" i="26"/>
  <c r="T14" i="26" l="1"/>
  <c r="S11" i="26"/>
  <c r="S59" i="26"/>
  <c r="S58" i="26"/>
  <c r="U14" i="26" l="1"/>
  <c r="T11" i="26"/>
  <c r="T59" i="26"/>
  <c r="T58" i="26"/>
  <c r="U59" i="26" l="1"/>
  <c r="U11" i="26"/>
  <c r="U58" i="26"/>
  <c r="V14" i="26"/>
  <c r="V59" i="26" l="1"/>
  <c r="V11" i="26"/>
  <c r="V58" i="26"/>
  <c r="W14" i="26"/>
  <c r="W59" i="26" l="1"/>
  <c r="W11" i="26"/>
  <c r="W58" i="26"/>
  <c r="X14" i="26"/>
  <c r="X58" i="26" l="1"/>
  <c r="Y14" i="26"/>
  <c r="X59" i="26"/>
  <c r="X11" i="26"/>
  <c r="Y58" i="26" l="1"/>
  <c r="Y11" i="26"/>
  <c r="Z14" i="26"/>
  <c r="Y59" i="26"/>
  <c r="AA14" i="26" l="1"/>
  <c r="Z59" i="26"/>
  <c r="Z11" i="26"/>
  <c r="Z58" i="26"/>
  <c r="AB14" i="26" l="1"/>
  <c r="AA59" i="26"/>
  <c r="AA11" i="26"/>
  <c r="AA58" i="26"/>
  <c r="AB11" i="26" l="1"/>
  <c r="AB59" i="26"/>
  <c r="AB58" i="26"/>
  <c r="AC14" i="26"/>
  <c r="AC34" i="26" l="1"/>
  <c r="AC27" i="26"/>
  <c r="AC31" i="26"/>
  <c r="AC21" i="26"/>
  <c r="AC17" i="26"/>
  <c r="AC59" i="26"/>
  <c r="AC56" i="26"/>
  <c r="AC54" i="26"/>
  <c r="AC52" i="26"/>
  <c r="AC50" i="26"/>
  <c r="AC48" i="26"/>
  <c r="AC46" i="26"/>
  <c r="AC44" i="26"/>
  <c r="AC42" i="26"/>
  <c r="AC40" i="26"/>
  <c r="AC38" i="26"/>
  <c r="AC36" i="26"/>
  <c r="AC32" i="26"/>
  <c r="AC28" i="26"/>
  <c r="AC23" i="26"/>
  <c r="AC22" i="26"/>
  <c r="AC30" i="26"/>
  <c r="AC20" i="26"/>
  <c r="AC33" i="26"/>
  <c r="AC19" i="26"/>
  <c r="AC11" i="26"/>
  <c r="AC26" i="26"/>
  <c r="AC58" i="26"/>
  <c r="AC16" i="26"/>
  <c r="AC35" i="26"/>
  <c r="AC24" i="26"/>
  <c r="AD14" i="26"/>
  <c r="AC57" i="26"/>
  <c r="AC55" i="26"/>
  <c r="AC53" i="26"/>
  <c r="AC51" i="26"/>
  <c r="AC49" i="26"/>
  <c r="AC47" i="26"/>
  <c r="AC45" i="26"/>
  <c r="AC43" i="26"/>
  <c r="AC41" i="26"/>
  <c r="AC39" i="26"/>
  <c r="AC37" i="26"/>
  <c r="AC25" i="26"/>
  <c r="AC18" i="26"/>
  <c r="AC29" i="26"/>
  <c r="AD31" i="26" l="1"/>
  <c r="AD21" i="26"/>
  <c r="AD59" i="26"/>
  <c r="AD56" i="26"/>
  <c r="AD54" i="26"/>
  <c r="AD52" i="26"/>
  <c r="AD50" i="26"/>
  <c r="AD48" i="26"/>
  <c r="AD46" i="26"/>
  <c r="AD44" i="26"/>
  <c r="AD42" i="26"/>
  <c r="AD40" i="26"/>
  <c r="AD38" i="26"/>
  <c r="AD36" i="26"/>
  <c r="AD32" i="26"/>
  <c r="AD28" i="26"/>
  <c r="AD23" i="26"/>
  <c r="AD33" i="26"/>
  <c r="AD22" i="26"/>
  <c r="AD19" i="26"/>
  <c r="AD11" i="26"/>
  <c r="AD20" i="26"/>
  <c r="AD16" i="26"/>
  <c r="AD35" i="26"/>
  <c r="AD24" i="26"/>
  <c r="AD58" i="26"/>
  <c r="AD30" i="26"/>
  <c r="AD27" i="26"/>
  <c r="AD57" i="26"/>
  <c r="AD55" i="26"/>
  <c r="AD53" i="26"/>
  <c r="AD51" i="26"/>
  <c r="AD49" i="26"/>
  <c r="AD47" i="26"/>
  <c r="AD45" i="26"/>
  <c r="AD43" i="26"/>
  <c r="AD41" i="26"/>
  <c r="AD39" i="26"/>
  <c r="AD37" i="26"/>
  <c r="AD25" i="26"/>
  <c r="AD18" i="26"/>
  <c r="AD29" i="26"/>
  <c r="AD26" i="26"/>
  <c r="AD34" i="26"/>
  <c r="AD17" i="26"/>
  <c r="AC10" i="26"/>
  <c r="AD10" i="26" l="1"/>
  <c r="D11" i="26" s="1"/>
  <c r="F13" i="26" l="1"/>
  <c r="D13" i="26"/>
  <c r="W12" i="26" s="1"/>
  <c r="Q12" i="26" l="1"/>
  <c r="R12" i="26"/>
  <c r="M12" i="26"/>
  <c r="U12" i="26"/>
  <c r="G12" i="26"/>
  <c r="AB12" i="26"/>
  <c r="AC12" i="26"/>
  <c r="F12" i="26"/>
  <c r="K12" i="26"/>
  <c r="X12" i="26"/>
  <c r="S12" i="26"/>
  <c r="N12" i="26"/>
  <c r="Y12" i="26"/>
  <c r="O12" i="26"/>
  <c r="J12" i="26"/>
  <c r="AA12" i="26"/>
  <c r="V12" i="26"/>
  <c r="H12" i="26"/>
  <c r="Z12" i="26"/>
  <c r="L12" i="26"/>
  <c r="AD12" i="26"/>
  <c r="I12" i="26"/>
  <c r="P12" i="26"/>
  <c r="T12" i="26"/>
  <c r="C3" i="25" l="1"/>
  <c r="B17" i="7" l="1"/>
  <c r="B18" i="7" s="1"/>
  <c r="E16" i="7"/>
  <c r="E17" i="7"/>
  <c r="E18" i="7"/>
  <c r="E19" i="7"/>
  <c r="E20" i="7"/>
  <c r="D16" i="7"/>
  <c r="E21" i="7"/>
  <c r="F18" i="7"/>
  <c r="F19" i="7" s="1"/>
  <c r="F20" i="7" s="1"/>
  <c r="F21" i="7" s="1"/>
  <c r="B4" i="7"/>
  <c r="E31" i="7"/>
  <c r="B11" i="16"/>
  <c r="X10" i="16" s="1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G58" i="16" s="1"/>
  <c r="D25" i="16"/>
  <c r="D29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66" i="16"/>
  <c r="F22" i="7"/>
  <c r="F23" i="7" s="1"/>
  <c r="F24" i="7" s="1"/>
  <c r="F25" i="7" s="1"/>
  <c r="F26" i="7" s="1"/>
  <c r="F27" i="7" s="1"/>
  <c r="F28" i="7" s="1"/>
  <c r="F29" i="7" s="1"/>
  <c r="F30" i="7" s="1"/>
  <c r="H10" i="16" l="1"/>
  <c r="E4" i="7"/>
  <c r="D17" i="7"/>
  <c r="E5" i="7"/>
  <c r="F10" i="16"/>
  <c r="AA10" i="16"/>
  <c r="W10" i="16"/>
  <c r="S10" i="16"/>
  <c r="O10" i="16"/>
  <c r="K10" i="16"/>
  <c r="G10" i="16"/>
  <c r="Z10" i="16"/>
  <c r="V10" i="16"/>
  <c r="R10" i="16"/>
  <c r="N10" i="16"/>
  <c r="J10" i="16"/>
  <c r="E10" i="16"/>
  <c r="Y10" i="16"/>
  <c r="U10" i="16"/>
  <c r="Q10" i="16"/>
  <c r="M10" i="16"/>
  <c r="I10" i="16"/>
  <c r="L10" i="16"/>
  <c r="AB10" i="16"/>
  <c r="H14" i="16"/>
  <c r="G57" i="16"/>
  <c r="B5" i="7"/>
  <c r="D5" i="7" s="1"/>
  <c r="D4" i="7"/>
  <c r="P10" i="16"/>
  <c r="T10" i="16"/>
  <c r="B19" i="7"/>
  <c r="D18" i="7"/>
  <c r="H11" i="16" l="1"/>
  <c r="I14" i="16"/>
  <c r="H57" i="16"/>
  <c r="H58" i="16"/>
  <c r="B20" i="7"/>
  <c r="D19" i="7"/>
  <c r="F11" i="16"/>
  <c r="G11" i="16"/>
  <c r="B21" i="7" l="1"/>
  <c r="D20" i="7"/>
  <c r="I11" i="16"/>
  <c r="I58" i="16"/>
  <c r="J14" i="16"/>
  <c r="I57" i="16"/>
  <c r="J57" i="16" l="1"/>
  <c r="J11" i="16"/>
  <c r="J58" i="16"/>
  <c r="K14" i="16"/>
  <c r="D21" i="7"/>
  <c r="B22" i="7"/>
  <c r="L14" i="16" l="1"/>
  <c r="K57" i="16"/>
  <c r="K11" i="16"/>
  <c r="K58" i="16"/>
  <c r="D22" i="7"/>
  <c r="A22" i="7"/>
  <c r="E22" i="7" s="1"/>
  <c r="B23" i="7"/>
  <c r="L11" i="16" l="1"/>
  <c r="M14" i="16"/>
  <c r="L57" i="16"/>
  <c r="L58" i="16"/>
  <c r="B24" i="7"/>
  <c r="A23" i="7"/>
  <c r="E23" i="7" s="1"/>
  <c r="D23" i="7"/>
  <c r="M11" i="16" l="1"/>
  <c r="M58" i="16"/>
  <c r="N14" i="16"/>
  <c r="M57" i="16"/>
  <c r="B25" i="7"/>
  <c r="D24" i="7"/>
  <c r="A24" i="7"/>
  <c r="E24" i="7" s="1"/>
  <c r="N57" i="16" l="1"/>
  <c r="N11" i="16"/>
  <c r="N58" i="16"/>
  <c r="O14" i="16"/>
  <c r="D25" i="7"/>
  <c r="A25" i="7"/>
  <c r="E25" i="7" s="1"/>
  <c r="B26" i="7"/>
  <c r="P14" i="16" l="1"/>
  <c r="O57" i="16"/>
  <c r="O11" i="16"/>
  <c r="O58" i="16"/>
  <c r="D26" i="7"/>
  <c r="A26" i="7"/>
  <c r="E26" i="7" s="1"/>
  <c r="B27" i="7"/>
  <c r="P11" i="16" l="1"/>
  <c r="Q14" i="16"/>
  <c r="P57" i="16"/>
  <c r="P58" i="16"/>
  <c r="B28" i="7"/>
  <c r="A27" i="7"/>
  <c r="E27" i="7" s="1"/>
  <c r="D27" i="7"/>
  <c r="Q11" i="16" l="1"/>
  <c r="Q58" i="16"/>
  <c r="R14" i="16"/>
  <c r="Q57" i="16"/>
  <c r="B29" i="7"/>
  <c r="D28" i="7"/>
  <c r="A28" i="7"/>
  <c r="E28" i="7" s="1"/>
  <c r="R57" i="16" l="1"/>
  <c r="R11" i="16"/>
  <c r="R58" i="16"/>
  <c r="S14" i="16"/>
  <c r="D29" i="7"/>
  <c r="A29" i="7"/>
  <c r="E29" i="7" s="1"/>
  <c r="B30" i="7"/>
  <c r="T14" i="16" l="1"/>
  <c r="S57" i="16"/>
  <c r="S58" i="16"/>
  <c r="S11" i="16"/>
  <c r="D30" i="7"/>
  <c r="A30" i="7"/>
  <c r="E30" i="7" s="1"/>
  <c r="T11" i="16" l="1"/>
  <c r="U14" i="16"/>
  <c r="T57" i="16"/>
  <c r="T58" i="16"/>
  <c r="U11" i="16" l="1"/>
  <c r="U58" i="16"/>
  <c r="V14" i="16"/>
  <c r="U57" i="16"/>
  <c r="V57" i="16" l="1"/>
  <c r="V11" i="16"/>
  <c r="V58" i="16"/>
  <c r="W14" i="16"/>
  <c r="X14" i="16" l="1"/>
  <c r="W57" i="16"/>
  <c r="W58" i="16"/>
  <c r="W11" i="16"/>
  <c r="X11" i="16" l="1"/>
  <c r="Y14" i="16"/>
  <c r="X58" i="16"/>
  <c r="X59" i="16"/>
  <c r="Y11" i="16" l="1"/>
  <c r="Y59" i="16"/>
  <c r="Z14" i="16"/>
  <c r="Y58" i="16"/>
  <c r="Z58" i="16" l="1"/>
  <c r="Z11" i="16"/>
  <c r="Z59" i="16"/>
  <c r="AA14" i="16"/>
  <c r="AB14" i="16" l="1"/>
  <c r="AA58" i="16"/>
  <c r="AA11" i="16"/>
  <c r="AA59" i="16"/>
  <c r="AB11" i="16" l="1"/>
  <c r="AC14" i="16"/>
  <c r="AB58" i="16"/>
  <c r="AB59" i="16"/>
  <c r="AC11" i="16" l="1"/>
  <c r="AC60" i="16"/>
  <c r="AC61" i="16"/>
  <c r="AC6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C58" i="16"/>
  <c r="AC10" i="16" l="1"/>
  <c r="AD11" i="16"/>
  <c r="AD60" i="16"/>
  <c r="AD61" i="16"/>
  <c r="AD6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9" i="16"/>
  <c r="AD58" i="16"/>
  <c r="AD10" i="16" l="1"/>
  <c r="D11" i="16" s="1"/>
  <c r="F13" i="16" l="1"/>
  <c r="D13" i="16"/>
  <c r="H12" i="16" l="1"/>
  <c r="AA12" i="16"/>
  <c r="O12" i="16"/>
  <c r="L12" i="16"/>
  <c r="W12" i="16"/>
  <c r="U12" i="16"/>
  <c r="AB12" i="16"/>
  <c r="N12" i="16"/>
  <c r="M12" i="16"/>
  <c r="J12" i="16"/>
  <c r="F12" i="16"/>
  <c r="I12" i="16"/>
  <c r="AD12" i="16"/>
  <c r="Z12" i="16"/>
  <c r="R12" i="16"/>
  <c r="V12" i="16"/>
  <c r="S12" i="16"/>
  <c r="Y12" i="16"/>
  <c r="X12" i="16"/>
  <c r="Q12" i="16"/>
  <c r="G12" i="16"/>
  <c r="AC12" i="16"/>
  <c r="P12" i="16"/>
  <c r="K12" i="16"/>
  <c r="T12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7009453C-E4D8-4E9C-8471-02B4C873378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<sst xmlns="http://schemas.openxmlformats.org/spreadsheetml/2006/main" count="222" uniqueCount="107">
  <si>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</si>
  <si>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</si>
  <si>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</si>
  <si>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</si>
  <si>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</si>
  <si>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</si>
  <si>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</si>
  <si>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</si>
  <si>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</si>
  <si>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</si>
  <si>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</si>
  <si>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</si>
  <si>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</si>
  <si>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</si>
  <si>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Planning</t>
  </si>
  <si>
    <t>Specification and prototype development</t>
  </si>
  <si>
    <t>Specification and prototype development, documentation</t>
  </si>
  <si>
    <t>Usability test, documentation, prototype corrections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</si>
  <si>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</si>
  <si>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</si>
  <si>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</si>
  <si>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</si>
  <si>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</si>
  <si>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</si>
  <si>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</si>
  <si>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Desarrollo ágil: Historias de usuario y criterios de aceptación</t>
  </si>
  <si>
    <t>Elaborado por: www.pmoinformatica.com</t>
  </si>
  <si>
    <t>Enunciado de la historia</t>
  </si>
  <si>
    <t>Identificador (ID) de la historia</t>
  </si>
  <si>
    <t>Prioridad</t>
  </si>
  <si>
    <t xml:space="preserve">Puntos de historias </t>
  </si>
  <si>
    <t>Rol</t>
  </si>
  <si>
    <t>Característica / Funcionalidad</t>
  </si>
  <si>
    <t>Razón / Resultado</t>
  </si>
  <si>
    <t>Número (#) de escenario</t>
  </si>
  <si>
    <t>Contexto</t>
  </si>
  <si>
    <t>Evento</t>
  </si>
  <si>
    <t>Resultado / Comportamiento esperado</t>
  </si>
  <si>
    <t>HU01</t>
  </si>
  <si>
    <t>HU02</t>
  </si>
  <si>
    <t>HU03</t>
  </si>
  <si>
    <t>HU04</t>
  </si>
  <si>
    <t>HU05</t>
  </si>
  <si>
    <t>HU06</t>
  </si>
  <si>
    <t>POR FAVOR COMPLETAR LA PRIORIDAD DE LAS HISTORIAS DE USUARIO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</si>
  <si>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</si>
  <si>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</si>
  <si>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</si>
  <si>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</si>
  <si>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</si>
  <si>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</si>
  <si>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</si>
  <si>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</si>
  <si>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Trend</t>
  </si>
  <si>
    <t>template rows</t>
  </si>
  <si>
    <t>Trend Days</t>
  </si>
  <si>
    <t>Task name</t>
  </si>
  <si>
    <t>Responsible</t>
  </si>
  <si>
    <t>Est.</t>
  </si>
  <si>
    <t>CU04 Recibir notificacion paciente fuera de area</t>
  </si>
  <si>
    <t>Levantar Django</t>
  </si>
  <si>
    <t>Nicolas</t>
  </si>
  <si>
    <t>Done</t>
  </si>
  <si>
    <t>Diseñar diagrama de clases</t>
  </si>
  <si>
    <t>Dannit</t>
  </si>
  <si>
    <t>Diseñar modelo datos</t>
  </si>
  <si>
    <t>Lucciano</t>
  </si>
  <si>
    <t>Diseño UI</t>
  </si>
  <si>
    <t>Enrique</t>
  </si>
  <si>
    <t>Diseñar casos de aceptacion</t>
  </si>
  <si>
    <t>Ongoing</t>
  </si>
  <si>
    <t>Diseño diagrama de actividades</t>
  </si>
  <si>
    <t>Diseño diagrama de secuencia</t>
  </si>
  <si>
    <t>Implementar API</t>
  </si>
  <si>
    <t>Crear/Poblar la base de datos</t>
  </si>
  <si>
    <t>Implementar calculo de distancia</t>
  </si>
  <si>
    <t>Implementar GPS "falso"</t>
  </si>
  <si>
    <t>Subir a servidor AWS</t>
  </si>
  <si>
    <t>Subir proyecto a gitlab</t>
  </si>
  <si>
    <t>Sprint review - Ejecutar casos de aceptacion</t>
  </si>
  <si>
    <t>Crear documentacion, manual de uso, manual de instalacion</t>
  </si>
  <si>
    <t>Modelar Base de Datos</t>
  </si>
  <si>
    <t>Conectar con API de geolocalización</t>
  </si>
  <si>
    <t>Diseñar la interfaz de usuario</t>
  </si>
  <si>
    <t>Desarrollar "Sentinel"</t>
  </si>
  <si>
    <t>Implementar servicio web</t>
  </si>
  <si>
    <t>Implementar determinar area segura</t>
  </si>
  <si>
    <t>Implementar alarma de paciente fuera de area</t>
  </si>
  <si>
    <t>Implementar historial de ubicaciones</t>
  </si>
  <si>
    <t>Documentacion</t>
  </si>
  <si>
    <t>Realizar pruebas de aceptación</t>
  </si>
  <si>
    <t>Liberacion</t>
  </si>
  <si>
    <t>Implementar diseño area segura</t>
  </si>
  <si>
    <t>HU01: Ver historial de ubicación</t>
  </si>
  <si>
    <t>HU02: Obtener ubicación del paciente</t>
  </si>
  <si>
    <t>HU03: Determinar área de monitoreo</t>
  </si>
  <si>
    <t>HU04: Recibier Alarma de paciente fuera de area</t>
  </si>
  <si>
    <t>ALL</t>
  </si>
  <si>
    <t>Mario</t>
  </si>
  <si>
    <t>Dannitt</t>
  </si>
  <si>
    <t>Nico</t>
  </si>
  <si>
    <t>Enriques</t>
  </si>
  <si>
    <t>Implementar login</t>
  </si>
  <si>
    <t>Implementar ubicación del paciente</t>
  </si>
  <si>
    <t xml:space="preserve">Implementar visualizar mapa </t>
  </si>
  <si>
    <t>Implementar Notificaciones</t>
  </si>
  <si>
    <t>Paused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</si>
</sst>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yyyy;@"/>
    <numFmt numFmtId="165" formatCode="&quot;Sprint &quot;#&quot; Backlog&quot;"/>
  </numFmts>
  <fonts count="20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28"/>
      <color indexed="8"/>
      <name val="Calibri"/>
      <family val="2"/>
    </font>
    <font>
      <b/>
      <sz val="16"/>
      <color indexed="59"/>
      <name val="Calibri"/>
      <family val="2"/>
    </font>
    <font>
      <sz val="11"/>
      <color indexed="9"/>
      <name val="Calibri"/>
      <family val="2"/>
    </font>
    <font>
      <sz val="20"/>
      <color indexed="8"/>
      <name val="Calibri"/>
      <family val="2"/>
    </font>
    <font>
      <sz val="24"/>
      <color indexed="8"/>
      <name val="Calibri"/>
      <family val="2"/>
    </font>
    <font>
      <b/>
      <sz val="20"/>
      <color indexed="8"/>
      <name val="Calibri"/>
      <family val="2"/>
    </font>
    <font>
      <sz val="12"/>
      <color indexed="8"/>
      <name val="Calibri"/>
      <family val="2"/>
    </font>
    <font>
      <sz val="26"/>
      <color indexed="8"/>
      <name val="Calibri"/>
      <family val="2"/>
    </font>
    <font>
      <sz val="18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59"/>
        <bgColor indexed="63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26"/>
      </patternFill>
    </fill>
    <fill>
      <patternFill patternType="solid">
        <fgColor rgb="FFFFFF00"/>
        <bgColor indexed="22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9"/>
      </left>
      <right style="thin">
        <color indexed="59"/>
      </right>
      <top style="thin">
        <color indexed="59"/>
      </top>
      <bottom style="thin">
        <color indexed="59"/>
      </bottom>
      <diagonal/>
    </border>
    <border>
      <left/>
      <right style="thin">
        <color indexed="59"/>
      </right>
      <top/>
      <bottom/>
      <diagonal/>
    </border>
    <border>
      <left style="thin">
        <color indexed="59"/>
      </left>
      <right style="thin">
        <color indexed="59"/>
      </right>
      <top style="thin">
        <color indexed="59"/>
      </top>
      <bottom/>
      <diagonal/>
    </border>
    <border>
      <left style="thin">
        <color indexed="59"/>
      </left>
      <right style="thin">
        <color indexed="59"/>
      </right>
      <top/>
      <bottom/>
      <diagonal/>
    </border>
    <border>
      <left/>
      <right style="thin">
        <color indexed="59"/>
      </right>
      <top style="thin">
        <color indexed="59"/>
      </top>
      <bottom style="thin">
        <color indexed="59"/>
      </bottom>
      <diagonal/>
    </border>
    <border>
      <left style="thin">
        <color indexed="59"/>
      </left>
      <right style="thin">
        <color indexed="59"/>
      </right>
      <top/>
      <bottom style="thin">
        <color indexed="59"/>
      </bottom>
      <diagonal/>
    </border>
    <border>
      <left style="thin">
        <color indexed="59"/>
      </left>
      <right/>
      <top/>
      <bottom style="thin">
        <color indexed="59"/>
      </bottom>
      <diagonal/>
    </border>
    <border>
      <left/>
      <right/>
      <top/>
      <bottom style="thin">
        <color indexed="59"/>
      </bottom>
      <diagonal/>
    </border>
    <border>
      <left/>
      <right style="thin">
        <color indexed="59"/>
      </right>
      <top/>
      <bottom style="thin">
        <color indexed="59"/>
      </bottom>
      <diagonal/>
    </border>
  </borders>
  <cellStyleXfs count="3">
    <xf numFmtId="0" fontId="0" fillId="0" borderId="0"/>
    <xf numFmtId="0" fontId="9" fillId="0" borderId="0"/>
    <xf numFmtId="0" fontId="8" fillId="0" borderId="0"/>
  </cellStyleXfs>
  <cellXfs count="11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0" fontId="5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7" fillId="0" borderId="0" xfId="0" applyFont="1"/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0" fontId="9" fillId="3" borderId="0" xfId="1" applyFill="1" applyBorder="1"/>
    <xf numFmtId="0" fontId="10" fillId="3" borderId="0" xfId="1" applyFont="1" applyFill="1" applyBorder="1"/>
    <xf numFmtId="0" fontId="9" fillId="3" borderId="0" xfId="1" applyFill="1" applyBorder="1" applyAlignment="1">
      <alignment vertical="top"/>
    </xf>
    <xf numFmtId="0" fontId="11" fillId="3" borderId="0" xfId="1" applyFont="1" applyFill="1" applyBorder="1"/>
    <xf numFmtId="0" fontId="12" fillId="4" borderId="16" xfId="1" applyFont="1" applyFill="1" applyBorder="1" applyAlignment="1">
      <alignment vertical="center" wrapText="1"/>
    </xf>
    <xf numFmtId="0" fontId="9" fillId="3" borderId="16" xfId="1" applyFill="1" applyBorder="1" applyAlignment="1">
      <alignment horizontal="center" vertical="center" wrapText="1"/>
    </xf>
    <xf numFmtId="0" fontId="9" fillId="3" borderId="16" xfId="1" applyFont="1" applyFill="1" applyBorder="1" applyAlignment="1">
      <alignment horizontal="left" vertical="top" wrapText="1"/>
    </xf>
    <xf numFmtId="0" fontId="9" fillId="3" borderId="17" xfId="1" applyFill="1" applyBorder="1"/>
    <xf numFmtId="0" fontId="9" fillId="5" borderId="16" xfId="1" applyFill="1" applyBorder="1" applyAlignment="1">
      <alignment horizontal="left" vertical="top" wrapText="1"/>
    </xf>
    <xf numFmtId="0" fontId="9" fillId="5" borderId="19" xfId="1" applyFill="1" applyBorder="1" applyAlignment="1">
      <alignment horizontal="left" vertical="top" wrapText="1"/>
    </xf>
    <xf numFmtId="0" fontId="9" fillId="5" borderId="16" xfId="1" applyFill="1" applyBorder="1" applyAlignment="1">
      <alignment horizontal="center" vertical="center" wrapText="1"/>
    </xf>
    <xf numFmtId="0" fontId="9" fillId="5" borderId="17" xfId="1" applyFill="1" applyBorder="1" applyAlignment="1">
      <alignment horizontal="left" vertical="top" wrapText="1"/>
    </xf>
    <xf numFmtId="0" fontId="9" fillId="5" borderId="20" xfId="1" applyFill="1" applyBorder="1" applyAlignment="1">
      <alignment horizontal="left" vertical="top" wrapText="1"/>
    </xf>
    <xf numFmtId="0" fontId="13" fillId="3" borderId="21" xfId="1" applyFont="1" applyFill="1" applyBorder="1" applyAlignment="1">
      <alignment horizontal="center" vertical="center"/>
    </xf>
    <xf numFmtId="0" fontId="14" fillId="3" borderId="21" xfId="1" applyFont="1" applyFill="1" applyBorder="1" applyAlignment="1">
      <alignment horizontal="center" vertical="center"/>
    </xf>
    <xf numFmtId="0" fontId="13" fillId="3" borderId="21" xfId="1" applyFont="1" applyFill="1" applyBorder="1" applyAlignment="1">
      <alignment horizontal="center" vertical="center" wrapText="1"/>
    </xf>
    <xf numFmtId="0" fontId="17" fillId="6" borderId="21" xfId="1" applyFont="1" applyFill="1" applyBorder="1" applyAlignment="1">
      <alignment horizontal="center" vertical="center"/>
    </xf>
    <xf numFmtId="0" fontId="9" fillId="7" borderId="19" xfId="1" applyFill="1" applyBorder="1" applyAlignment="1">
      <alignment horizontal="left" vertical="top" wrapText="1"/>
    </xf>
    <xf numFmtId="0" fontId="18" fillId="8" borderId="0" xfId="0" applyFont="1" applyFill="1"/>
    <xf numFmtId="0" fontId="14" fillId="3" borderId="24" xfId="1" applyFont="1" applyFill="1" applyBorder="1" applyAlignment="1">
      <alignment horizontal="center" vertical="center"/>
    </xf>
    <xf numFmtId="0" fontId="17" fillId="0" borderId="21" xfId="1" applyFont="1" applyFill="1" applyBorder="1" applyAlignment="1">
      <alignment horizontal="center" vertical="center"/>
    </xf>
    <xf numFmtId="0" fontId="9" fillId="0" borderId="19" xfId="1" applyFill="1" applyBorder="1" applyAlignment="1">
      <alignment horizontal="left" vertical="top" wrapText="1"/>
    </xf>
    <xf numFmtId="165" fontId="3" fillId="0" borderId="0" xfId="2" applyNumberFormat="1" applyFont="1" applyAlignment="1">
      <alignment horizontal="left"/>
    </xf>
    <xf numFmtId="165" fontId="3" fillId="0" borderId="0" xfId="2" applyNumberFormat="1" applyFont="1" applyAlignment="1">
      <alignment horizontal="center"/>
    </xf>
    <xf numFmtId="0" fontId="8" fillId="0" borderId="0" xfId="2"/>
    <xf numFmtId="0" fontId="8" fillId="0" borderId="0" xfId="2" applyAlignment="1">
      <alignment horizontal="center"/>
    </xf>
    <xf numFmtId="0" fontId="1" fillId="2" borderId="0" xfId="2" applyFont="1" applyFill="1"/>
    <xf numFmtId="0" fontId="8" fillId="2" borderId="0" xfId="2" applyFill="1"/>
    <xf numFmtId="0" fontId="1" fillId="0" borderId="0" xfId="2" applyFont="1" applyAlignment="1">
      <alignment horizontal="center"/>
    </xf>
    <xf numFmtId="0" fontId="7" fillId="0" borderId="0" xfId="2" applyFont="1"/>
    <xf numFmtId="0" fontId="1" fillId="2" borderId="0" xfId="2" applyFont="1" applyFill="1" applyAlignment="1">
      <alignment horizontal="center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center"/>
    </xf>
    <xf numFmtId="0" fontId="16" fillId="3" borderId="16" xfId="1" applyFont="1" applyFill="1" applyBorder="1" applyAlignment="1">
      <alignment horizontal="center" vertical="center" wrapText="1"/>
    </xf>
    <xf numFmtId="0" fontId="12" fillId="4" borderId="16" xfId="1" applyFont="1" applyFill="1" applyBorder="1" applyAlignment="1">
      <alignment horizontal="center" vertical="center" wrapText="1"/>
    </xf>
    <xf numFmtId="0" fontId="19" fillId="0" borderId="0" xfId="0" applyFont="1"/>
    <xf numFmtId="0" fontId="12" fillId="4" borderId="16" xfId="1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6" borderId="16" xfId="1" applyFont="1" applyFill="1" applyBorder="1" applyAlignment="1">
      <alignment horizontal="center" vertical="center" wrapText="1"/>
    </xf>
    <xf numFmtId="0" fontId="15" fillId="3" borderId="16" xfId="1" applyFont="1" applyFill="1" applyBorder="1" applyAlignment="1">
      <alignment horizontal="center" vertical="top" wrapText="1"/>
    </xf>
    <xf numFmtId="0" fontId="16" fillId="3" borderId="16" xfId="1" applyFont="1" applyFill="1" applyBorder="1" applyAlignment="1">
      <alignment horizontal="center" vertical="center" wrapText="1"/>
    </xf>
    <xf numFmtId="0" fontId="16" fillId="3" borderId="22" xfId="1" applyFont="1" applyFill="1" applyBorder="1" applyAlignment="1">
      <alignment vertical="center" wrapText="1"/>
    </xf>
    <xf numFmtId="0" fontId="16" fillId="3" borderId="23" xfId="1" applyFont="1" applyFill="1" applyBorder="1" applyAlignment="1">
      <alignment vertical="center" wrapText="1"/>
    </xf>
    <xf numFmtId="0" fontId="16" fillId="3" borderId="24" xfId="1" applyFont="1" applyFill="1" applyBorder="1" applyAlignment="1">
      <alignment vertical="center" wrapText="1"/>
    </xf>
    <xf numFmtId="0" fontId="14" fillId="0" borderId="18" xfId="1" applyFont="1" applyFill="1" applyBorder="1" applyAlignment="1">
      <alignment horizontal="center" vertical="center" wrapText="1"/>
    </xf>
    <xf numFmtId="0" fontId="14" fillId="0" borderId="19" xfId="1" applyFont="1" applyFill="1" applyBorder="1" applyAlignment="1">
      <alignment horizontal="center" vertical="center" wrapText="1"/>
    </xf>
    <xf numFmtId="0" fontId="14" fillId="0" borderId="21" xfId="1" applyFont="1" applyFill="1" applyBorder="1" applyAlignment="1">
      <alignment horizontal="center" vertical="center" wrapText="1"/>
    </xf>
    <xf numFmtId="0" fontId="14" fillId="0" borderId="18" xfId="1" applyFont="1" applyFill="1" applyBorder="1" applyAlignment="1">
      <alignment horizontal="center" vertical="center"/>
    </xf>
    <xf numFmtId="0" fontId="14" fillId="0" borderId="19" xfId="1" applyFont="1" applyFill="1" applyBorder="1" applyAlignment="1">
      <alignment horizontal="center" vertical="center"/>
    </xf>
    <xf numFmtId="0" fontId="14" fillId="0" borderId="21" xfId="1" applyFont="1" applyFill="1" applyBorder="1" applyAlignment="1">
      <alignment horizontal="center" vertical="center"/>
    </xf>
    <xf numFmtId="0" fontId="15" fillId="3" borderId="20" xfId="1" applyFont="1" applyFill="1" applyBorder="1" applyAlignment="1">
      <alignment horizontal="center" vertical="top" wrapText="1"/>
    </xf>
    <xf numFmtId="0" fontId="13" fillId="3" borderId="16" xfId="1" applyFont="1" applyFill="1" applyBorder="1" applyAlignment="1">
      <alignment horizontal="center" vertical="center"/>
    </xf>
    <xf numFmtId="0" fontId="14" fillId="6" borderId="16" xfId="1" applyFont="1" applyFill="1" applyBorder="1" applyAlignment="1">
      <alignment horizontal="center" vertical="center"/>
    </xf>
  </cellXfs>
  <cellStyles count="3">
    <cellStyle name="Normal" xfId="0" builtinId="0"/>
    <cellStyle name="Normal 2" xfId="2" xr:uid="{1837BDF4-1FDA-41C4-BF7D-B690F165A666}"/>
    <cellStyle name="Normal 2 2" xfId="1" xr:uid="{99C5BCE0-02D6-F14A-99B1-D695E4194494}"/>
  </cellStyles>
  <dxfs count="6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oficial'!$F$10:$AD$10</c:f>
              <c:numCache>
                <c:formatCode>General</c:formatCode>
                <c:ptCount val="25"/>
                <c:pt idx="0">
                  <c:v>126</c:v>
                </c:pt>
                <c:pt idx="1">
                  <c:v>119</c:v>
                </c:pt>
                <c:pt idx="2">
                  <c:v>116.5</c:v>
                </c:pt>
                <c:pt idx="3">
                  <c:v>114</c:v>
                </c:pt>
                <c:pt idx="4">
                  <c:v>112</c:v>
                </c:pt>
                <c:pt idx="5">
                  <c:v>111</c:v>
                </c:pt>
                <c:pt idx="6">
                  <c:v>111</c:v>
                </c:pt>
                <c:pt idx="7">
                  <c:v>70</c:v>
                </c:pt>
                <c:pt idx="8">
                  <c:v>69</c:v>
                </c:pt>
                <c:pt idx="9">
                  <c:v>67</c:v>
                </c:pt>
                <c:pt idx="10">
                  <c:v>65</c:v>
                </c:pt>
                <c:pt idx="11">
                  <c:v>63</c:v>
                </c:pt>
                <c:pt idx="12">
                  <c:v>62</c:v>
                </c:pt>
                <c:pt idx="13">
                  <c:v>62</c:v>
                </c:pt>
                <c:pt idx="14">
                  <c:v>16</c:v>
                </c:pt>
                <c:pt idx="15">
                  <c:v>16</c:v>
                </c:pt>
                <c:pt idx="16">
                  <c:v>15</c:v>
                </c:pt>
                <c:pt idx="17">
                  <c:v>12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oficial'!$F$11:$AD$11</c:f>
              <c:numCache>
                <c:formatCode>General</c:formatCode>
                <c:ptCount val="25"/>
                <c:pt idx="0">
                  <c:v>128</c:v>
                </c:pt>
                <c:pt idx="1">
                  <c:v>122.88</c:v>
                </c:pt>
                <c:pt idx="2">
                  <c:v>117.76</c:v>
                </c:pt>
                <c:pt idx="3">
                  <c:v>112.64</c:v>
                </c:pt>
                <c:pt idx="4">
                  <c:v>107.52</c:v>
                </c:pt>
                <c:pt idx="5">
                  <c:v>102.4</c:v>
                </c:pt>
                <c:pt idx="6">
                  <c:v>97.28</c:v>
                </c:pt>
                <c:pt idx="7">
                  <c:v>92.16</c:v>
                </c:pt>
                <c:pt idx="8">
                  <c:v>87.039999999999992</c:v>
                </c:pt>
                <c:pt idx="9">
                  <c:v>81.92</c:v>
                </c:pt>
                <c:pt idx="10">
                  <c:v>76.8</c:v>
                </c:pt>
                <c:pt idx="11">
                  <c:v>71.680000000000007</c:v>
                </c:pt>
                <c:pt idx="12">
                  <c:v>66.56</c:v>
                </c:pt>
                <c:pt idx="13">
                  <c:v>61.44</c:v>
                </c:pt>
                <c:pt idx="14">
                  <c:v>56.319999999999993</c:v>
                </c:pt>
                <c:pt idx="15">
                  <c:v>51.2</c:v>
                </c:pt>
                <c:pt idx="16">
                  <c:v>46.08</c:v>
                </c:pt>
                <c:pt idx="17">
                  <c:v>40.959999999999994</c:v>
                </c:pt>
                <c:pt idx="18">
                  <c:v>35.840000000000003</c:v>
                </c:pt>
                <c:pt idx="19">
                  <c:v>30.72</c:v>
                </c:pt>
                <c:pt idx="20">
                  <c:v>25.599999999999994</c:v>
                </c:pt>
                <c:pt idx="21">
                  <c:v>20.480000000000004</c:v>
                </c:pt>
                <c:pt idx="22">
                  <c:v>15.36</c:v>
                </c:pt>
                <c:pt idx="23">
                  <c:v>10.239999999999995</c:v>
                </c:pt>
                <c:pt idx="24">
                  <c:v>5.1200000000000045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C-416C-A560-8785A29D2C3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oficial'!$F$12:$AD$12</c:f>
              <c:numCache>
                <c:formatCode>General</c:formatCode>
                <c:ptCount val="25"/>
                <c:pt idx="0">
                  <c:v>33.399999999999991</c:v>
                </c:pt>
                <c:pt idx="1">
                  <c:v>32.199999999999996</c:v>
                </c:pt>
                <c:pt idx="2">
                  <c:v>30.999999999999996</c:v>
                </c:pt>
                <c:pt idx="3">
                  <c:v>29.799999999999997</c:v>
                </c:pt>
                <c:pt idx="4">
                  <c:v>28.599999999999998</c:v>
                </c:pt>
                <c:pt idx="5">
                  <c:v>27.4</c:v>
                </c:pt>
                <c:pt idx="6">
                  <c:v>26.199999999999996</c:v>
                </c:pt>
                <c:pt idx="7">
                  <c:v>25</c:v>
                </c:pt>
                <c:pt idx="8">
                  <c:v>23.799999999999997</c:v>
                </c:pt>
                <c:pt idx="9">
                  <c:v>22.6</c:v>
                </c:pt>
                <c:pt idx="10">
                  <c:v>21.4</c:v>
                </c:pt>
                <c:pt idx="11">
                  <c:v>20.2</c:v>
                </c:pt>
                <c:pt idx="12">
                  <c:v>19</c:v>
                </c:pt>
                <c:pt idx="13">
                  <c:v>17.8</c:v>
                </c:pt>
                <c:pt idx="14">
                  <c:v>16.600000000000001</c:v>
                </c:pt>
                <c:pt idx="15">
                  <c:v>15.400000000000002</c:v>
                </c:pt>
                <c:pt idx="16">
                  <c:v>14.200000000000003</c:v>
                </c:pt>
                <c:pt idx="17">
                  <c:v>13.000000000000004</c:v>
                </c:pt>
                <c:pt idx="18">
                  <c:v>11.800000000000004</c:v>
                </c:pt>
                <c:pt idx="19">
                  <c:v>10.600000000000005</c:v>
                </c:pt>
                <c:pt idx="20">
                  <c:v>9.4000000000000057</c:v>
                </c:pt>
                <c:pt idx="21">
                  <c:v>8.2000000000000064</c:v>
                </c:pt>
                <c:pt idx="22">
                  <c:v>7.0000000000000071</c:v>
                </c:pt>
                <c:pt idx="23">
                  <c:v>5.8000000000000043</c:v>
                </c:pt>
                <c:pt idx="24">
                  <c:v>4.600000000000005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C-416C-A560-8785A29D2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'Backlog de ejemplo'!$F$10:$AD$10</c:f>
              <c:numCache>
                <c:formatCode>General</c:formatCode>
                <c:ptCount val="25"/>
                <c:pt idx="0">
                  <c:v>44</c:v>
                </c:pt>
                <c:pt idx="1">
                  <c:v>41</c:v>
                </c:pt>
                <c:pt idx="2">
                  <c:v>37</c:v>
                </c:pt>
                <c:pt idx="3">
                  <c:v>33</c:v>
                </c:pt>
                <c:pt idx="4">
                  <c:v>31</c:v>
                </c:pt>
                <c:pt idx="5">
                  <c:v>22</c:v>
                </c:pt>
                <c:pt idx="6">
                  <c:v>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65376"/>
        <c:axId val="117367168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'Backlog de ejemplo'!$F$11:$AD$11</c:f>
              <c:numCache>
                <c:formatCode>General</c:formatCode>
                <c:ptCount val="25"/>
                <c:pt idx="0">
                  <c:v>44</c:v>
                </c:pt>
                <c:pt idx="1">
                  <c:v>41.06666666666667</c:v>
                </c:pt>
                <c:pt idx="2">
                  <c:v>38.133333333333333</c:v>
                </c:pt>
                <c:pt idx="3">
                  <c:v>35.200000000000003</c:v>
                </c:pt>
                <c:pt idx="4">
                  <c:v>32.266666666666666</c:v>
                </c:pt>
                <c:pt idx="5">
                  <c:v>29.333333333333336</c:v>
                </c:pt>
                <c:pt idx="6">
                  <c:v>26.400000000000002</c:v>
                </c:pt>
                <c:pt idx="7">
                  <c:v>23.466666666666669</c:v>
                </c:pt>
                <c:pt idx="8">
                  <c:v>20.533333333333335</c:v>
                </c:pt>
                <c:pt idx="9">
                  <c:v>17.600000000000001</c:v>
                </c:pt>
                <c:pt idx="10">
                  <c:v>14.666666666666668</c:v>
                </c:pt>
                <c:pt idx="11">
                  <c:v>11.733333333333334</c:v>
                </c:pt>
                <c:pt idx="12">
                  <c:v>8.8000000000000043</c:v>
                </c:pt>
                <c:pt idx="13">
                  <c:v>5.8666666666666671</c:v>
                </c:pt>
                <c:pt idx="14">
                  <c:v>2.9333333333333371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0-4BB6-98A7-88ACA70ABC7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'Backlog de ejemplo'!$F$12:$AD$12</c:f>
              <c:numCache>
                <c:formatCode>General</c:formatCode>
                <c:ptCount val="25"/>
                <c:pt idx="0">
                  <c:v>46</c:v>
                </c:pt>
                <c:pt idx="1">
                  <c:v>41.7</c:v>
                </c:pt>
                <c:pt idx="2">
                  <c:v>37.400000000000006</c:v>
                </c:pt>
                <c:pt idx="3">
                  <c:v>33.1</c:v>
                </c:pt>
                <c:pt idx="4">
                  <c:v>28.8</c:v>
                </c:pt>
                <c:pt idx="5">
                  <c:v>24.5</c:v>
                </c:pt>
                <c:pt idx="6">
                  <c:v>20.2</c:v>
                </c:pt>
                <c:pt idx="7">
                  <c:v>15.899999999999999</c:v>
                </c:pt>
                <c:pt idx="8">
                  <c:v>11.600000000000001</c:v>
                </c:pt>
                <c:pt idx="9">
                  <c:v>7.2999999999999972</c:v>
                </c:pt>
                <c:pt idx="10">
                  <c:v>2.9999999999999929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60-4BB6-98A7-88ACA70A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65376"/>
        <c:axId val="117367168"/>
      </c:lineChart>
      <c:catAx>
        <c:axId val="117365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7367168"/>
        <c:crosses val="autoZero"/>
        <c:auto val="1"/>
        <c:lblAlgn val="ctr"/>
        <c:lblOffset val="100"/>
        <c:noMultiLvlLbl val="0"/>
      </c:catAx>
      <c:valAx>
        <c:axId val="11736716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3522220928"/>
              <c:y val="0.153852092017909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17365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2854122621564482E-3"/>
          <c:y val="0.10294117647058823"/>
          <c:w val="0.11733626319965818"/>
          <c:h val="0.36029566157171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4282440</xdr:colOff>
      <xdr:row>0</xdr:row>
      <xdr:rowOff>99060</xdr:rowOff>
    </xdr:from>
    <xdr:to>
      <xdr:col>4</xdr:col>
      <xdr:colOff>746760</xdr:colOff>
      <xdr:row>1</xdr:row>
      <xdr:rowOff>91440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00000000-0008-0000-0100-000004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429" name="Chart 2">
          <a:extLst>
            <a:ext uri="{FF2B5EF4-FFF2-40B4-BE49-F238E27FC236}">
              <a16:creationId xmlns:a16="http://schemas.microsoft.com/office/drawing/2014/main" id="{00000000-0008-0000-0300-00005D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91440</xdr:rowOff>
    </xdr:from>
    <xdr:to>
      <xdr:col>0</xdr:col>
      <xdr:colOff>1714500</xdr:colOff>
      <xdr:row>7</xdr:row>
      <xdr:rowOff>22860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00000000-0008-0000-0300-00000D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2004060</xdr:colOff>
      <xdr:row>5</xdr:row>
      <xdr:rowOff>91440</xdr:rowOff>
    </xdr:from>
    <xdr:to>
      <xdr:col>2</xdr:col>
      <xdr:colOff>213360</xdr:colOff>
      <xdr:row>7</xdr:row>
      <xdr:rowOff>22860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00000000-0008-0000-0300-00000E3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5</xdr:row>
      <xdr:rowOff>83820</xdr:rowOff>
    </xdr:from>
    <xdr:to>
      <xdr:col>0</xdr:col>
      <xdr:colOff>1714500</xdr:colOff>
      <xdr:row>7</xdr:row>
      <xdr:rowOff>30480</xdr:rowOff>
    </xdr:to>
    <xdr:sp macro="" textlink="">
      <xdr:nvSpPr>
        <xdr:cNvPr id="17409" name="Button 1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400-000001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2011680</xdr:colOff>
      <xdr:row>5</xdr:row>
      <xdr:rowOff>83820</xdr:rowOff>
    </xdr:from>
    <xdr:to>
      <xdr:col>2</xdr:col>
      <xdr:colOff>220980</xdr:colOff>
      <xdr:row>7</xdr:row>
      <xdr:rowOff>30480</xdr:rowOff>
    </xdr:to>
    <xdr:sp macro="" textlink="">
      <xdr:nvSpPr>
        <xdr:cNvPr id="17410" name="Button 2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400-00000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CL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D16" sqref="D16"/>
    </sheetView>
  </sheetViews>
  <sheetFormatPr baseColWidth="10" defaultColWidth="8.6640625" defaultRowHeight="13.2" x14ac:dyDescent="0.25"/>
  <cols>
    <col min="1" max="1" width="7.6640625" customWidth="1"/>
    <col min="2" max="2" width="10.44140625" customWidth="1"/>
    <col min="3" max="3" width="9.44140625" customWidth="1"/>
    <col min="4" max="5" width="10.6640625" customWidth="1"/>
    <col min="7" max="7" width="13.6640625" style="2" customWidth="1"/>
    <col min="8" max="8" width="59.109375" customWidth="1"/>
    <col min="9" max="9" width="10.6640625" customWidth="1"/>
  </cols>
  <sheetData>
    <row r="1" spans="1:10" ht="17.399999999999999" x14ac:dyDescent="0.3">
      <c r="A1" s="15" t="s">
        <v>0</v>
      </c>
    </row>
    <row r="3" spans="1:10" x14ac:dyDescent="0.25">
      <c r="A3" s="9" t="s">
        <v>1</v>
      </c>
      <c r="B3" s="45" t="s">
        <v>2</v>
      </c>
      <c r="C3" s="46" t="s">
        <v>3</v>
      </c>
      <c r="D3" s="46" t="s">
        <v>4</v>
      </c>
      <c r="E3" s="45" t="s">
        <v>5</v>
      </c>
      <c r="F3" s="10" t="s">
        <v>6</v>
      </c>
      <c r="G3" s="45" t="s">
        <v>7</v>
      </c>
      <c r="H3" s="11" t="s">
        <v>8</v>
      </c>
      <c r="I3" s="1"/>
      <c r="J3" s="1"/>
    </row>
    <row r="4" spans="1:10" x14ac:dyDescent="0.25">
      <c r="A4" s="12">
        <v>1</v>
      </c>
      <c r="B4" s="42">
        <f>IF(OR(B16="",A4=""),"",B16)</f>
        <v>38881</v>
      </c>
      <c r="C4" s="25">
        <f t="shared" ref="C4:C10" si="0">IF(A4="","",SUMIF(I$16:I$30,A4,C$16:C$30))</f>
        <v>42</v>
      </c>
      <c r="D4" s="42">
        <f>IF(OR(B4="",C4=""),"",B4+C4-1)</f>
        <v>38922</v>
      </c>
      <c r="E4" s="22">
        <f>IF(A4="","",SUMIF(I$16:I$30,'Release Plan'!A4,E$16:E$30))</f>
        <v>0</v>
      </c>
      <c r="F4" s="4"/>
      <c r="G4" s="47"/>
      <c r="H4" s="6"/>
    </row>
    <row r="5" spans="1:10" x14ac:dyDescent="0.25">
      <c r="A5" s="13">
        <v>2</v>
      </c>
      <c r="B5" s="39">
        <f>IF(A5="","",B4+C4)</f>
        <v>38923</v>
      </c>
      <c r="C5" s="22">
        <f t="shared" si="0"/>
        <v>42</v>
      </c>
      <c r="D5" s="39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48"/>
      <c r="H5" s="7"/>
    </row>
    <row r="6" spans="1:10" x14ac:dyDescent="0.25">
      <c r="A6" s="13"/>
      <c r="B6" s="39"/>
      <c r="C6" s="22" t="str">
        <f t="shared" si="0"/>
        <v/>
      </c>
      <c r="D6" s="39" t="str">
        <f t="shared" si="1"/>
        <v/>
      </c>
      <c r="E6" s="22" t="str">
        <f>IF(A6="","",SUMIF(I$16:I$30,'Release Plan'!A6,E$16:E$30))</f>
        <v/>
      </c>
      <c r="F6" s="4"/>
      <c r="G6" s="48"/>
      <c r="H6" s="7"/>
    </row>
    <row r="7" spans="1:10" x14ac:dyDescent="0.25">
      <c r="A7" s="13"/>
      <c r="B7" s="39"/>
      <c r="C7" s="22" t="str">
        <f t="shared" si="0"/>
        <v/>
      </c>
      <c r="D7" s="39" t="str">
        <f t="shared" si="1"/>
        <v/>
      </c>
      <c r="E7" s="22" t="str">
        <f>IF(A7="","",SUMIF(I$16:I$30,'Release Plan'!A7,E$16:E$30))</f>
        <v/>
      </c>
      <c r="F7" s="4"/>
      <c r="G7" s="48"/>
      <c r="H7" s="7"/>
    </row>
    <row r="8" spans="1:10" x14ac:dyDescent="0.25">
      <c r="A8" s="13"/>
      <c r="B8" s="39"/>
      <c r="C8" s="22" t="str">
        <f t="shared" si="0"/>
        <v/>
      </c>
      <c r="D8" s="39" t="str">
        <f t="shared" si="1"/>
        <v/>
      </c>
      <c r="E8" s="22" t="str">
        <f>IF(A8="","",SUMIF(I$16:I$30,'Release Plan'!A8,E$16:E$30))</f>
        <v/>
      </c>
      <c r="F8" s="4"/>
      <c r="G8" s="48"/>
      <c r="H8" s="7"/>
    </row>
    <row r="9" spans="1:10" x14ac:dyDescent="0.25">
      <c r="A9" s="13"/>
      <c r="B9" s="39"/>
      <c r="C9" s="22" t="str">
        <f t="shared" si="0"/>
        <v/>
      </c>
      <c r="D9" s="39" t="str">
        <f t="shared" si="1"/>
        <v/>
      </c>
      <c r="E9" s="22" t="str">
        <f>IF(A9="","",SUMIF(I$16:I$30,'Release Plan'!A9,E$16:E$30))</f>
        <v/>
      </c>
      <c r="F9" s="4"/>
      <c r="G9" s="48"/>
      <c r="H9" s="7"/>
    </row>
    <row r="10" spans="1:10" x14ac:dyDescent="0.25">
      <c r="A10" s="14"/>
      <c r="B10" s="40"/>
      <c r="C10" s="41" t="str">
        <f t="shared" si="0"/>
        <v/>
      </c>
      <c r="D10" s="40" t="str">
        <f t="shared" si="1"/>
        <v/>
      </c>
      <c r="E10" s="41" t="str">
        <f>IF(A10="","",SUMIF(I$16:I$30,'Release Plan'!A10,E$16:E$30))</f>
        <v/>
      </c>
      <c r="F10" s="5"/>
      <c r="G10" s="49"/>
      <c r="H10" s="8"/>
    </row>
    <row r="11" spans="1:10" x14ac:dyDescent="0.25">
      <c r="A11" s="36" t="s">
        <v>9</v>
      </c>
    </row>
    <row r="13" spans="1:10" ht="17.399999999999999" x14ac:dyDescent="0.3">
      <c r="A13" s="15" t="s">
        <v>10</v>
      </c>
    </row>
    <row r="15" spans="1:10" x14ac:dyDescent="0.25">
      <c r="A15" s="9" t="s">
        <v>11</v>
      </c>
      <c r="B15" s="45" t="s">
        <v>2</v>
      </c>
      <c r="C15" s="45" t="s">
        <v>3</v>
      </c>
      <c r="D15" s="45" t="s">
        <v>4</v>
      </c>
      <c r="E15" s="45" t="s">
        <v>5</v>
      </c>
      <c r="F15" s="10" t="s">
        <v>6</v>
      </c>
      <c r="G15" s="45" t="s">
        <v>7</v>
      </c>
      <c r="H15" s="55" t="s">
        <v>8</v>
      </c>
      <c r="I15" s="51" t="s">
        <v>12</v>
      </c>
      <c r="J15" s="1"/>
    </row>
    <row r="16" spans="1:10" x14ac:dyDescent="0.25">
      <c r="A16" s="22">
        <v>1</v>
      </c>
      <c r="B16" s="5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0</v>
      </c>
      <c r="F16" s="4" t="s">
        <v>13</v>
      </c>
      <c r="G16" s="27"/>
      <c r="H16" s="28" t="s">
        <v>14</v>
      </c>
      <c r="I16" s="54">
        <v>1</v>
      </c>
    </row>
    <row r="17" spans="1:9" x14ac:dyDescent="0.2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0</v>
      </c>
      <c r="F17" s="4" t="s">
        <v>13</v>
      </c>
      <c r="G17" s="27"/>
      <c r="H17" s="29" t="s">
        <v>15</v>
      </c>
      <c r="I17" s="37">
        <v>1</v>
      </c>
    </row>
    <row r="18" spans="1:9" x14ac:dyDescent="0.2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0</v>
      </c>
      <c r="F18" s="4" t="str">
        <f>IF(AND(OR(F17="Planned",F17="Ongoing"),C18&lt;&gt;""),"Planned","Unplanned")</f>
        <v>Planned</v>
      </c>
      <c r="G18" s="27"/>
      <c r="H18" s="29" t="s">
        <v>15</v>
      </c>
      <c r="I18" s="37">
        <v>1</v>
      </c>
    </row>
    <row r="19" spans="1:9" x14ac:dyDescent="0.2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15</v>
      </c>
      <c r="I19" s="37">
        <v>2</v>
      </c>
    </row>
    <row r="20" spans="1:9" x14ac:dyDescent="0.2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16</v>
      </c>
      <c r="I20" s="37">
        <v>2</v>
      </c>
    </row>
    <row r="21" spans="1:9" x14ac:dyDescent="0.2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17</v>
      </c>
      <c r="I21" s="37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7"/>
    </row>
    <row r="23" spans="1:9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7"/>
    </row>
    <row r="24" spans="1:9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7"/>
    </row>
    <row r="25" spans="1:9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7"/>
    </row>
    <row r="26" spans="1:9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7"/>
    </row>
    <row r="27" spans="1:9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7"/>
    </row>
    <row r="28" spans="1:9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7"/>
    </row>
    <row r="29" spans="1:9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7"/>
    </row>
    <row r="30" spans="1:9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38"/>
    </row>
    <row r="31" spans="1:9" x14ac:dyDescent="0.25">
      <c r="A31" s="23"/>
      <c r="B31" s="23"/>
      <c r="C31" s="23"/>
      <c r="D31" s="24" t="s">
        <v>18</v>
      </c>
      <c r="E31" s="25">
        <f>SUMIF('Product Backlog'!E$6:E$103,"",'Product Backlog'!D$6:D$103)-SUMIF('Product Backlog'!C$6:C$103,"Removed",'Product Backlog'!D$6:D$103)</f>
        <v>0</v>
      </c>
      <c r="F31" s="23"/>
      <c r="G31" s="50"/>
      <c r="H31" s="23"/>
    </row>
  </sheetData>
  <phoneticPr fontId="2" type="noConversion"/>
  <conditionalFormatting sqref="G4:H10 E31 E5:E10 A4:D10">
    <cfRule type="expression" dxfId="59" priority="1" stopIfTrue="1">
      <formula>$F4="Planned"</formula>
    </cfRule>
    <cfRule type="expression" dxfId="58" priority="2" stopIfTrue="1">
      <formula>$F4="Ongoing"</formula>
    </cfRule>
  </conditionalFormatting>
  <conditionalFormatting sqref="F4:F10 F16:F30">
    <cfRule type="expression" dxfId="57" priority="3" stopIfTrue="1">
      <formula>$F4="Planned"</formula>
    </cfRule>
    <cfRule type="expression" dxfId="56" priority="4" stopIfTrue="1">
      <formula>$F4="Ongoing"</formula>
    </cfRule>
    <cfRule type="cellIs" dxfId="55" priority="5" stopIfTrue="1" operator="equal">
      <formula>"Unplanned"</formula>
    </cfRule>
  </conditionalFormatting>
  <conditionalFormatting sqref="E4 G16:H30 A16:E30">
    <cfRule type="expression" dxfId="54" priority="6" stopIfTrue="1">
      <formula>OR($F4="Planned",$F4="Unplanned")</formula>
    </cfRule>
    <cfRule type="expression" dxfId="5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zoomScale="150" workbookViewId="0">
      <pane ySplit="4" topLeftCell="A5" activePane="bottomLeft" state="frozen"/>
      <selection activeCell="B1" sqref="B1"/>
      <selection pane="bottomLeft" activeCell="B5" sqref="B5"/>
    </sheetView>
  </sheetViews>
  <sheetFormatPr baseColWidth="10" defaultColWidth="9.109375" defaultRowHeight="13.2" x14ac:dyDescent="0.25"/>
  <cols>
    <col min="1" max="1" width="11.44140625" style="33" customWidth="1"/>
    <col min="2" max="2" width="64.33203125" style="31" bestFit="1" customWidth="1"/>
    <col min="3" max="3" width="10.6640625" style="33" customWidth="1"/>
    <col min="4" max="6" width="11.44140625" style="33" customWidth="1"/>
    <col min="7" max="7" width="39.44140625" style="31" customWidth="1"/>
    <col min="8" max="256" width="11.44140625" style="34" customWidth="1"/>
    <col min="257" max="16384" width="9.109375" style="34"/>
  </cols>
  <sheetData>
    <row r="1" spans="1:7" ht="17.399999999999999" x14ac:dyDescent="0.25">
      <c r="A1" s="52" t="s">
        <v>19</v>
      </c>
      <c r="C1" s="32" t="s">
        <v>20</v>
      </c>
    </row>
    <row r="2" spans="1:7" x14ac:dyDescent="0.25">
      <c r="D2" s="58"/>
    </row>
    <row r="4" spans="1:7" ht="13.8" thickBot="1" x14ac:dyDescent="0.3">
      <c r="A4" s="43" t="s">
        <v>21</v>
      </c>
      <c r="B4" s="44" t="s">
        <v>22</v>
      </c>
      <c r="C4" s="43" t="s">
        <v>6</v>
      </c>
      <c r="D4" s="43" t="s">
        <v>5</v>
      </c>
      <c r="E4" s="43" t="s">
        <v>11</v>
      </c>
      <c r="F4" s="43" t="s">
        <v>23</v>
      </c>
      <c r="G4" s="44" t="s">
        <v>24</v>
      </c>
    </row>
    <row r="5" spans="1:7" x14ac:dyDescent="0.25">
      <c r="A5" s="33">
        <v>1</v>
      </c>
      <c r="B5" s="60"/>
      <c r="C5" s="33" t="s">
        <v>13</v>
      </c>
    </row>
    <row r="6" spans="1:7" ht="13.5" customHeight="1" x14ac:dyDescent="0.25">
      <c r="A6" s="33">
        <v>2</v>
      </c>
      <c r="B6" s="61"/>
      <c r="C6" s="33" t="s">
        <v>13</v>
      </c>
      <c r="G6" s="34"/>
    </row>
    <row r="7" spans="1:7" x14ac:dyDescent="0.25">
      <c r="A7" s="33">
        <v>3</v>
      </c>
      <c r="B7" s="60"/>
      <c r="C7" s="33" t="s">
        <v>13</v>
      </c>
    </row>
    <row r="8" spans="1:7" x14ac:dyDescent="0.25">
      <c r="A8" s="33">
        <v>4</v>
      </c>
      <c r="B8" s="60"/>
      <c r="C8" s="33" t="s">
        <v>13</v>
      </c>
    </row>
    <row r="9" spans="1:7" x14ac:dyDescent="0.25">
      <c r="A9" s="33">
        <v>5</v>
      </c>
      <c r="B9" s="60"/>
      <c r="C9" s="33" t="s">
        <v>13</v>
      </c>
    </row>
    <row r="10" spans="1:7" ht="17.25" customHeight="1" x14ac:dyDescent="0.25">
      <c r="A10" s="33">
        <v>6</v>
      </c>
      <c r="B10" s="60"/>
      <c r="C10" s="33" t="s">
        <v>13</v>
      </c>
    </row>
    <row r="11" spans="1:7" ht="14.25" customHeight="1" x14ac:dyDescent="0.25">
      <c r="A11" s="33">
        <v>7</v>
      </c>
      <c r="B11" s="60"/>
      <c r="C11" s="33" t="s">
        <v>13</v>
      </c>
    </row>
    <row r="12" spans="1:7" ht="14.25" customHeight="1" x14ac:dyDescent="0.25">
      <c r="A12" s="33">
        <v>8</v>
      </c>
      <c r="B12"/>
      <c r="C12" s="33" t="s">
        <v>13</v>
      </c>
    </row>
    <row r="13" spans="1:7" x14ac:dyDescent="0.25">
      <c r="A13" s="33">
        <v>9</v>
      </c>
      <c r="B13"/>
      <c r="C13" s="33" t="s">
        <v>13</v>
      </c>
    </row>
    <row r="14" spans="1:7" x14ac:dyDescent="0.25">
      <c r="A14" s="33">
        <v>10</v>
      </c>
      <c r="B14"/>
      <c r="C14" s="33" t="s">
        <v>13</v>
      </c>
    </row>
    <row r="15" spans="1:7" x14ac:dyDescent="0.25">
      <c r="A15" s="33">
        <v>11</v>
      </c>
      <c r="B15"/>
      <c r="C15" s="33" t="s">
        <v>13</v>
      </c>
    </row>
    <row r="16" spans="1:7" x14ac:dyDescent="0.25">
      <c r="A16" s="33">
        <v>12</v>
      </c>
      <c r="B16"/>
      <c r="C16" s="33" t="s">
        <v>13</v>
      </c>
    </row>
    <row r="17" spans="1:3" x14ac:dyDescent="0.25">
      <c r="A17" s="33">
        <v>13</v>
      </c>
      <c r="B17"/>
      <c r="C17" s="33" t="s">
        <v>13</v>
      </c>
    </row>
    <row r="18" spans="1:3" x14ac:dyDescent="0.25">
      <c r="A18" s="33">
        <v>14</v>
      </c>
      <c r="B18"/>
      <c r="C18" s="33" t="s">
        <v>13</v>
      </c>
    </row>
    <row r="19" spans="1:3" x14ac:dyDescent="0.25">
      <c r="A19" s="33">
        <v>15</v>
      </c>
      <c r="B19"/>
      <c r="C19" s="33" t="s">
        <v>13</v>
      </c>
    </row>
    <row r="20" spans="1:3" x14ac:dyDescent="0.25">
      <c r="A20" s="33">
        <v>16</v>
      </c>
      <c r="B20"/>
      <c r="C20" s="33" t="s">
        <v>13</v>
      </c>
    </row>
    <row r="21" spans="1:3" x14ac:dyDescent="0.25">
      <c r="A21" s="33">
        <v>17</v>
      </c>
      <c r="B21"/>
      <c r="C21" s="33" t="s">
        <v>13</v>
      </c>
    </row>
    <row r="22" spans="1:3" x14ac:dyDescent="0.25">
      <c r="A22" s="33">
        <v>18</v>
      </c>
      <c r="B22"/>
      <c r="C22" s="33" t="s">
        <v>13</v>
      </c>
    </row>
    <row r="23" spans="1:3" x14ac:dyDescent="0.25">
      <c r="A23" s="33">
        <v>19</v>
      </c>
      <c r="B23"/>
      <c r="C23" s="33" t="s">
        <v>13</v>
      </c>
    </row>
    <row r="24" spans="1:3" x14ac:dyDescent="0.25">
      <c r="A24" s="33">
        <v>20</v>
      </c>
      <c r="B24"/>
      <c r="C24" s="33" t="s">
        <v>13</v>
      </c>
    </row>
    <row r="25" spans="1:3" x14ac:dyDescent="0.25">
      <c r="A25" s="33">
        <v>21</v>
      </c>
      <c r="B25"/>
      <c r="C25" s="33" t="s">
        <v>13</v>
      </c>
    </row>
    <row r="26" spans="1:3" x14ac:dyDescent="0.25">
      <c r="A26" s="33">
        <v>22</v>
      </c>
      <c r="B26"/>
      <c r="C26" s="33" t="s">
        <v>13</v>
      </c>
    </row>
    <row r="27" spans="1:3" x14ac:dyDescent="0.25">
      <c r="A27" s="33">
        <v>23</v>
      </c>
      <c r="B27"/>
      <c r="C27" s="33" t="s">
        <v>13</v>
      </c>
    </row>
    <row r="28" spans="1:3" x14ac:dyDescent="0.25">
      <c r="A28" s="33">
        <v>24</v>
      </c>
      <c r="B28"/>
      <c r="C28" s="33" t="s">
        <v>13</v>
      </c>
    </row>
    <row r="29" spans="1:3" x14ac:dyDescent="0.25">
      <c r="A29" s="33">
        <v>25</v>
      </c>
      <c r="B29"/>
      <c r="C29" s="33" t="s">
        <v>13</v>
      </c>
    </row>
    <row r="30" spans="1:3" x14ac:dyDescent="0.25">
      <c r="A30" s="33">
        <v>26</v>
      </c>
      <c r="B30"/>
      <c r="C30" s="33" t="s">
        <v>13</v>
      </c>
    </row>
    <row r="31" spans="1:3" x14ac:dyDescent="0.25">
      <c r="A31" s="33">
        <v>27</v>
      </c>
      <c r="B31"/>
      <c r="C31" s="33" t="s">
        <v>13</v>
      </c>
    </row>
    <row r="32" spans="1:3" x14ac:dyDescent="0.25">
      <c r="A32" s="33">
        <v>28</v>
      </c>
      <c r="B32"/>
      <c r="C32" s="33" t="s">
        <v>13</v>
      </c>
    </row>
    <row r="33" spans="1:10" x14ac:dyDescent="0.25">
      <c r="A33" s="33">
        <v>29</v>
      </c>
      <c r="B33"/>
      <c r="C33" s="33" t="s">
        <v>13</v>
      </c>
    </row>
    <row r="34" spans="1:10" x14ac:dyDescent="0.25">
      <c r="A34" s="33">
        <v>30</v>
      </c>
      <c r="B34"/>
      <c r="C34" s="33" t="s">
        <v>13</v>
      </c>
    </row>
    <row r="35" spans="1:10" x14ac:dyDescent="0.25">
      <c r="A35" s="33">
        <v>31</v>
      </c>
      <c r="B35"/>
      <c r="C35" s="33" t="s">
        <v>13</v>
      </c>
    </row>
    <row r="36" spans="1:10" x14ac:dyDescent="0.25">
      <c r="A36" s="33">
        <v>32</v>
      </c>
      <c r="B36"/>
      <c r="C36" s="33" t="s">
        <v>13</v>
      </c>
    </row>
    <row r="37" spans="1:10" x14ac:dyDescent="0.25">
      <c r="A37" s="33">
        <v>33</v>
      </c>
      <c r="B37"/>
      <c r="C37" s="33" t="s">
        <v>13</v>
      </c>
      <c r="J37" s="56"/>
    </row>
    <row r="38" spans="1:10" x14ac:dyDescent="0.25">
      <c r="A38" s="33">
        <v>34</v>
      </c>
      <c r="B38"/>
      <c r="C38" s="33" t="s">
        <v>13</v>
      </c>
    </row>
    <row r="39" spans="1:10" x14ac:dyDescent="0.25">
      <c r="A39" s="33">
        <v>35</v>
      </c>
      <c r="B39"/>
      <c r="C39" s="33" t="s">
        <v>13</v>
      </c>
    </row>
    <row r="40" spans="1:10" x14ac:dyDescent="0.25">
      <c r="A40" s="33">
        <v>36</v>
      </c>
      <c r="B40"/>
      <c r="C40" s="33" t="s">
        <v>13</v>
      </c>
    </row>
    <row r="41" spans="1:10" x14ac:dyDescent="0.25">
      <c r="B41" s="34"/>
      <c r="C41" s="34"/>
      <c r="D41" s="34"/>
      <c r="E41" s="34"/>
      <c r="F41" s="34"/>
      <c r="G41" s="34"/>
    </row>
    <row r="42" spans="1:10" x14ac:dyDescent="0.25">
      <c r="G42" s="57"/>
    </row>
    <row r="53" spans="1:6" x14ac:dyDescent="0.25">
      <c r="A53" s="34"/>
      <c r="B53" s="34"/>
      <c r="C53" s="34"/>
      <c r="D53" s="34"/>
      <c r="E53" s="34"/>
      <c r="F53" s="34"/>
    </row>
  </sheetData>
  <phoneticPr fontId="2" type="noConversion"/>
  <conditionalFormatting sqref="G44:G52 C45:C46 A54:G163 B47:F52 G11:G21 A4:G10 A42:A52 G23:G40 A11:F40 B42:F44">
    <cfRule type="expression" dxfId="52" priority="1" stopIfTrue="1">
      <formula>$C4="Done"</formula>
    </cfRule>
    <cfRule type="expression" dxfId="51" priority="2" stopIfTrue="1">
      <formula>$C4="Ongoing"</formula>
    </cfRule>
    <cfRule type="expression" dxfId="50" priority="3" stopIfTrue="1">
      <formula>$C4="Removed"</formula>
    </cfRule>
  </conditionalFormatting>
  <conditionalFormatting sqref="G53">
    <cfRule type="expression" dxfId="49" priority="4" stopIfTrue="1">
      <formula>#REF!="Done"</formula>
    </cfRule>
    <cfRule type="expression" dxfId="48" priority="5" stopIfTrue="1">
      <formula>#REF!="Ongoing"</formula>
    </cfRule>
    <cfRule type="expression" dxfId="47" priority="6" stopIfTrue="1">
      <formula>#REF!="Removed"</formula>
    </cfRule>
  </conditionalFormatting>
  <conditionalFormatting sqref="G42:G43">
    <cfRule type="expression" dxfId="46" priority="7" stopIfTrue="1">
      <formula>#REF!="Done"</formula>
    </cfRule>
    <cfRule type="expression" dxfId="45" priority="8" stopIfTrue="1">
      <formula>#REF!="Ongoing"</formula>
    </cfRule>
    <cfRule type="expression" dxfId="44" priority="9" stopIfTrue="1">
      <formula>#REF!="Removed"</formula>
    </cfRule>
  </conditionalFormatting>
  <conditionalFormatting sqref="G22">
    <cfRule type="expression" dxfId="43" priority="10" stopIfTrue="1">
      <formula>#REF!="Done"</formula>
    </cfRule>
    <cfRule type="expression" dxfId="42" priority="11" stopIfTrue="1">
      <formula>#REF!="Ongoing"</formula>
    </cfRule>
    <cfRule type="expression" dxfId="41" priority="12" stopIfTrue="1">
      <formula>#REF!="Removed"</formula>
    </cfRule>
  </conditionalFormatting>
  <conditionalFormatting sqref="A41">
    <cfRule type="expression" dxfId="40" priority="32" stopIfTrue="1">
      <formula>#REF!="Done"</formula>
    </cfRule>
    <cfRule type="expression" dxfId="39" priority="33" stopIfTrue="1">
      <formula>#REF!="Ongoing"</formula>
    </cfRule>
    <cfRule type="expression" dxfId="38" priority="34" stopIfTrue="1">
      <formula>#REF!="Removed"</formula>
    </cfRule>
  </conditionalFormatting>
  <dataValidations disablePrompts="1" count="1">
    <dataValidation type="list" allowBlank="1" showInputMessage="1" sqref="C54:C163 C4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1ED42-B32A-DE4A-97B7-9DFDE21D5748}">
  <dimension ref="A1:K85"/>
  <sheetViews>
    <sheetView topLeftCell="B1" zoomScale="89" zoomScaleNormal="94" workbookViewId="0">
      <selection activeCell="F21" sqref="F21:F24"/>
    </sheetView>
  </sheetViews>
  <sheetFormatPr baseColWidth="10" defaultColWidth="9.44140625" defaultRowHeight="14.4" x14ac:dyDescent="0.3"/>
  <cols>
    <col min="1" max="1" width="1.109375" style="62" customWidth="1"/>
    <col min="2" max="2" width="11.44140625" style="62" customWidth="1"/>
    <col min="3" max="3" width="17.6640625" style="62" customWidth="1"/>
    <col min="4" max="4" width="18.109375" style="62" customWidth="1"/>
    <col min="5" max="5" width="24.44140625" style="64" customWidth="1"/>
    <col min="6" max="6" width="24.6640625" style="62" customWidth="1"/>
    <col min="7" max="7" width="20.6640625" style="62" customWidth="1"/>
    <col min="8" max="8" width="10.44140625" style="62" customWidth="1"/>
    <col min="9" max="9" width="42.109375" style="62" customWidth="1"/>
    <col min="10" max="10" width="41.6640625" style="62" customWidth="1"/>
    <col min="11" max="11" width="65.33203125" style="62" bestFit="1" customWidth="1"/>
    <col min="12" max="12" width="2.6640625" style="62" customWidth="1"/>
    <col min="13" max="257" width="9.44140625" style="62"/>
    <col min="258" max="258" width="1.109375" style="62" customWidth="1"/>
    <col min="259" max="260" width="11.44140625" style="62" customWidth="1"/>
    <col min="261" max="261" width="24.44140625" style="62" customWidth="1"/>
    <col min="262" max="262" width="24.6640625" style="62" customWidth="1"/>
    <col min="263" max="263" width="20.6640625" style="62" customWidth="1"/>
    <col min="264" max="264" width="10.44140625" style="62" customWidth="1"/>
    <col min="265" max="265" width="42.109375" style="62" customWidth="1"/>
    <col min="266" max="266" width="41.6640625" style="62" customWidth="1"/>
    <col min="267" max="267" width="40.6640625" style="62" customWidth="1"/>
    <col min="268" max="268" width="2.6640625" style="62" customWidth="1"/>
    <col min="269" max="513" width="9.44140625" style="62"/>
    <col min="514" max="514" width="1.109375" style="62" customWidth="1"/>
    <col min="515" max="516" width="11.44140625" style="62" customWidth="1"/>
    <col min="517" max="517" width="24.44140625" style="62" customWidth="1"/>
    <col min="518" max="518" width="24.6640625" style="62" customWidth="1"/>
    <col min="519" max="519" width="20.6640625" style="62" customWidth="1"/>
    <col min="520" max="520" width="10.44140625" style="62" customWidth="1"/>
    <col min="521" max="521" width="42.109375" style="62" customWidth="1"/>
    <col min="522" max="522" width="41.6640625" style="62" customWidth="1"/>
    <col min="523" max="523" width="40.6640625" style="62" customWidth="1"/>
    <col min="524" max="524" width="2.6640625" style="62" customWidth="1"/>
    <col min="525" max="769" width="9.44140625" style="62"/>
    <col min="770" max="770" width="1.109375" style="62" customWidth="1"/>
    <col min="771" max="772" width="11.44140625" style="62" customWidth="1"/>
    <col min="773" max="773" width="24.44140625" style="62" customWidth="1"/>
    <col min="774" max="774" width="24.6640625" style="62" customWidth="1"/>
    <col min="775" max="775" width="20.6640625" style="62" customWidth="1"/>
    <col min="776" max="776" width="10.44140625" style="62" customWidth="1"/>
    <col min="777" max="777" width="42.109375" style="62" customWidth="1"/>
    <col min="778" max="778" width="41.6640625" style="62" customWidth="1"/>
    <col min="779" max="779" width="40.6640625" style="62" customWidth="1"/>
    <col min="780" max="780" width="2.6640625" style="62" customWidth="1"/>
    <col min="781" max="1025" width="9.44140625" style="62"/>
    <col min="1026" max="1026" width="1.109375" style="62" customWidth="1"/>
    <col min="1027" max="1028" width="11.44140625" style="62" customWidth="1"/>
    <col min="1029" max="1029" width="24.44140625" style="62" customWidth="1"/>
    <col min="1030" max="1030" width="24.6640625" style="62" customWidth="1"/>
    <col min="1031" max="1031" width="20.6640625" style="62" customWidth="1"/>
    <col min="1032" max="1032" width="10.44140625" style="62" customWidth="1"/>
    <col min="1033" max="1033" width="42.109375" style="62" customWidth="1"/>
    <col min="1034" max="1034" width="41.6640625" style="62" customWidth="1"/>
    <col min="1035" max="1035" width="40.6640625" style="62" customWidth="1"/>
    <col min="1036" max="1036" width="2.6640625" style="62" customWidth="1"/>
    <col min="1037" max="1281" width="9.44140625" style="62"/>
    <col min="1282" max="1282" width="1.109375" style="62" customWidth="1"/>
    <col min="1283" max="1284" width="11.44140625" style="62" customWidth="1"/>
    <col min="1285" max="1285" width="24.44140625" style="62" customWidth="1"/>
    <col min="1286" max="1286" width="24.6640625" style="62" customWidth="1"/>
    <col min="1287" max="1287" width="20.6640625" style="62" customWidth="1"/>
    <col min="1288" max="1288" width="10.44140625" style="62" customWidth="1"/>
    <col min="1289" max="1289" width="42.109375" style="62" customWidth="1"/>
    <col min="1290" max="1290" width="41.6640625" style="62" customWidth="1"/>
    <col min="1291" max="1291" width="40.6640625" style="62" customWidth="1"/>
    <col min="1292" max="1292" width="2.6640625" style="62" customWidth="1"/>
    <col min="1293" max="1537" width="9.44140625" style="62"/>
    <col min="1538" max="1538" width="1.109375" style="62" customWidth="1"/>
    <col min="1539" max="1540" width="11.44140625" style="62" customWidth="1"/>
    <col min="1541" max="1541" width="24.44140625" style="62" customWidth="1"/>
    <col min="1542" max="1542" width="24.6640625" style="62" customWidth="1"/>
    <col min="1543" max="1543" width="20.6640625" style="62" customWidth="1"/>
    <col min="1544" max="1544" width="10.44140625" style="62" customWidth="1"/>
    <col min="1545" max="1545" width="42.109375" style="62" customWidth="1"/>
    <col min="1546" max="1546" width="41.6640625" style="62" customWidth="1"/>
    <col min="1547" max="1547" width="40.6640625" style="62" customWidth="1"/>
    <col min="1548" max="1548" width="2.6640625" style="62" customWidth="1"/>
    <col min="1549" max="1793" width="9.44140625" style="62"/>
    <col min="1794" max="1794" width="1.109375" style="62" customWidth="1"/>
    <col min="1795" max="1796" width="11.44140625" style="62" customWidth="1"/>
    <col min="1797" max="1797" width="24.44140625" style="62" customWidth="1"/>
    <col min="1798" max="1798" width="24.6640625" style="62" customWidth="1"/>
    <col min="1799" max="1799" width="20.6640625" style="62" customWidth="1"/>
    <col min="1800" max="1800" width="10.44140625" style="62" customWidth="1"/>
    <col min="1801" max="1801" width="42.109375" style="62" customWidth="1"/>
    <col min="1802" max="1802" width="41.6640625" style="62" customWidth="1"/>
    <col min="1803" max="1803" width="40.6640625" style="62" customWidth="1"/>
    <col min="1804" max="1804" width="2.6640625" style="62" customWidth="1"/>
    <col min="1805" max="2049" width="9.44140625" style="62"/>
    <col min="2050" max="2050" width="1.109375" style="62" customWidth="1"/>
    <col min="2051" max="2052" width="11.44140625" style="62" customWidth="1"/>
    <col min="2053" max="2053" width="24.44140625" style="62" customWidth="1"/>
    <col min="2054" max="2054" width="24.6640625" style="62" customWidth="1"/>
    <col min="2055" max="2055" width="20.6640625" style="62" customWidth="1"/>
    <col min="2056" max="2056" width="10.44140625" style="62" customWidth="1"/>
    <col min="2057" max="2057" width="42.109375" style="62" customWidth="1"/>
    <col min="2058" max="2058" width="41.6640625" style="62" customWidth="1"/>
    <col min="2059" max="2059" width="40.6640625" style="62" customWidth="1"/>
    <col min="2060" max="2060" width="2.6640625" style="62" customWidth="1"/>
    <col min="2061" max="2305" width="9.44140625" style="62"/>
    <col min="2306" max="2306" width="1.109375" style="62" customWidth="1"/>
    <col min="2307" max="2308" width="11.44140625" style="62" customWidth="1"/>
    <col min="2309" max="2309" width="24.44140625" style="62" customWidth="1"/>
    <col min="2310" max="2310" width="24.6640625" style="62" customWidth="1"/>
    <col min="2311" max="2311" width="20.6640625" style="62" customWidth="1"/>
    <col min="2312" max="2312" width="10.44140625" style="62" customWidth="1"/>
    <col min="2313" max="2313" width="42.109375" style="62" customWidth="1"/>
    <col min="2314" max="2314" width="41.6640625" style="62" customWidth="1"/>
    <col min="2315" max="2315" width="40.6640625" style="62" customWidth="1"/>
    <col min="2316" max="2316" width="2.6640625" style="62" customWidth="1"/>
    <col min="2317" max="2561" width="9.44140625" style="62"/>
    <col min="2562" max="2562" width="1.109375" style="62" customWidth="1"/>
    <col min="2563" max="2564" width="11.44140625" style="62" customWidth="1"/>
    <col min="2565" max="2565" width="24.44140625" style="62" customWidth="1"/>
    <col min="2566" max="2566" width="24.6640625" style="62" customWidth="1"/>
    <col min="2567" max="2567" width="20.6640625" style="62" customWidth="1"/>
    <col min="2568" max="2568" width="10.44140625" style="62" customWidth="1"/>
    <col min="2569" max="2569" width="42.109375" style="62" customWidth="1"/>
    <col min="2570" max="2570" width="41.6640625" style="62" customWidth="1"/>
    <col min="2571" max="2571" width="40.6640625" style="62" customWidth="1"/>
    <col min="2572" max="2572" width="2.6640625" style="62" customWidth="1"/>
    <col min="2573" max="2817" width="9.44140625" style="62"/>
    <col min="2818" max="2818" width="1.109375" style="62" customWidth="1"/>
    <col min="2819" max="2820" width="11.44140625" style="62" customWidth="1"/>
    <col min="2821" max="2821" width="24.44140625" style="62" customWidth="1"/>
    <col min="2822" max="2822" width="24.6640625" style="62" customWidth="1"/>
    <col min="2823" max="2823" width="20.6640625" style="62" customWidth="1"/>
    <col min="2824" max="2824" width="10.44140625" style="62" customWidth="1"/>
    <col min="2825" max="2825" width="42.109375" style="62" customWidth="1"/>
    <col min="2826" max="2826" width="41.6640625" style="62" customWidth="1"/>
    <col min="2827" max="2827" width="40.6640625" style="62" customWidth="1"/>
    <col min="2828" max="2828" width="2.6640625" style="62" customWidth="1"/>
    <col min="2829" max="3073" width="9.44140625" style="62"/>
    <col min="3074" max="3074" width="1.109375" style="62" customWidth="1"/>
    <col min="3075" max="3076" width="11.44140625" style="62" customWidth="1"/>
    <col min="3077" max="3077" width="24.44140625" style="62" customWidth="1"/>
    <col min="3078" max="3078" width="24.6640625" style="62" customWidth="1"/>
    <col min="3079" max="3079" width="20.6640625" style="62" customWidth="1"/>
    <col min="3080" max="3080" width="10.44140625" style="62" customWidth="1"/>
    <col min="3081" max="3081" width="42.109375" style="62" customWidth="1"/>
    <col min="3082" max="3082" width="41.6640625" style="62" customWidth="1"/>
    <col min="3083" max="3083" width="40.6640625" style="62" customWidth="1"/>
    <col min="3084" max="3084" width="2.6640625" style="62" customWidth="1"/>
    <col min="3085" max="3329" width="9.44140625" style="62"/>
    <col min="3330" max="3330" width="1.109375" style="62" customWidth="1"/>
    <col min="3331" max="3332" width="11.44140625" style="62" customWidth="1"/>
    <col min="3333" max="3333" width="24.44140625" style="62" customWidth="1"/>
    <col min="3334" max="3334" width="24.6640625" style="62" customWidth="1"/>
    <col min="3335" max="3335" width="20.6640625" style="62" customWidth="1"/>
    <col min="3336" max="3336" width="10.44140625" style="62" customWidth="1"/>
    <col min="3337" max="3337" width="42.109375" style="62" customWidth="1"/>
    <col min="3338" max="3338" width="41.6640625" style="62" customWidth="1"/>
    <col min="3339" max="3339" width="40.6640625" style="62" customWidth="1"/>
    <col min="3340" max="3340" width="2.6640625" style="62" customWidth="1"/>
    <col min="3341" max="3585" width="9.44140625" style="62"/>
    <col min="3586" max="3586" width="1.109375" style="62" customWidth="1"/>
    <col min="3587" max="3588" width="11.44140625" style="62" customWidth="1"/>
    <col min="3589" max="3589" width="24.44140625" style="62" customWidth="1"/>
    <col min="3590" max="3590" width="24.6640625" style="62" customWidth="1"/>
    <col min="3591" max="3591" width="20.6640625" style="62" customWidth="1"/>
    <col min="3592" max="3592" width="10.44140625" style="62" customWidth="1"/>
    <col min="3593" max="3593" width="42.109375" style="62" customWidth="1"/>
    <col min="3594" max="3594" width="41.6640625" style="62" customWidth="1"/>
    <col min="3595" max="3595" width="40.6640625" style="62" customWidth="1"/>
    <col min="3596" max="3596" width="2.6640625" style="62" customWidth="1"/>
    <col min="3597" max="3841" width="9.44140625" style="62"/>
    <col min="3842" max="3842" width="1.109375" style="62" customWidth="1"/>
    <col min="3843" max="3844" width="11.44140625" style="62" customWidth="1"/>
    <col min="3845" max="3845" width="24.44140625" style="62" customWidth="1"/>
    <col min="3846" max="3846" width="24.6640625" style="62" customWidth="1"/>
    <col min="3847" max="3847" width="20.6640625" style="62" customWidth="1"/>
    <col min="3848" max="3848" width="10.44140625" style="62" customWidth="1"/>
    <col min="3849" max="3849" width="42.109375" style="62" customWidth="1"/>
    <col min="3850" max="3850" width="41.6640625" style="62" customWidth="1"/>
    <col min="3851" max="3851" width="40.6640625" style="62" customWidth="1"/>
    <col min="3852" max="3852" width="2.6640625" style="62" customWidth="1"/>
    <col min="3853" max="4097" width="9.44140625" style="62"/>
    <col min="4098" max="4098" width="1.109375" style="62" customWidth="1"/>
    <col min="4099" max="4100" width="11.44140625" style="62" customWidth="1"/>
    <col min="4101" max="4101" width="24.44140625" style="62" customWidth="1"/>
    <col min="4102" max="4102" width="24.6640625" style="62" customWidth="1"/>
    <col min="4103" max="4103" width="20.6640625" style="62" customWidth="1"/>
    <col min="4104" max="4104" width="10.44140625" style="62" customWidth="1"/>
    <col min="4105" max="4105" width="42.109375" style="62" customWidth="1"/>
    <col min="4106" max="4106" width="41.6640625" style="62" customWidth="1"/>
    <col min="4107" max="4107" width="40.6640625" style="62" customWidth="1"/>
    <col min="4108" max="4108" width="2.6640625" style="62" customWidth="1"/>
    <col min="4109" max="4353" width="9.44140625" style="62"/>
    <col min="4354" max="4354" width="1.109375" style="62" customWidth="1"/>
    <col min="4355" max="4356" width="11.44140625" style="62" customWidth="1"/>
    <col min="4357" max="4357" width="24.44140625" style="62" customWidth="1"/>
    <col min="4358" max="4358" width="24.6640625" style="62" customWidth="1"/>
    <col min="4359" max="4359" width="20.6640625" style="62" customWidth="1"/>
    <col min="4360" max="4360" width="10.44140625" style="62" customWidth="1"/>
    <col min="4361" max="4361" width="42.109375" style="62" customWidth="1"/>
    <col min="4362" max="4362" width="41.6640625" style="62" customWidth="1"/>
    <col min="4363" max="4363" width="40.6640625" style="62" customWidth="1"/>
    <col min="4364" max="4364" width="2.6640625" style="62" customWidth="1"/>
    <col min="4365" max="4609" width="9.44140625" style="62"/>
    <col min="4610" max="4610" width="1.109375" style="62" customWidth="1"/>
    <col min="4611" max="4612" width="11.44140625" style="62" customWidth="1"/>
    <col min="4613" max="4613" width="24.44140625" style="62" customWidth="1"/>
    <col min="4614" max="4614" width="24.6640625" style="62" customWidth="1"/>
    <col min="4615" max="4615" width="20.6640625" style="62" customWidth="1"/>
    <col min="4616" max="4616" width="10.44140625" style="62" customWidth="1"/>
    <col min="4617" max="4617" width="42.109375" style="62" customWidth="1"/>
    <col min="4618" max="4618" width="41.6640625" style="62" customWidth="1"/>
    <col min="4619" max="4619" width="40.6640625" style="62" customWidth="1"/>
    <col min="4620" max="4620" width="2.6640625" style="62" customWidth="1"/>
    <col min="4621" max="4865" width="9.44140625" style="62"/>
    <col min="4866" max="4866" width="1.109375" style="62" customWidth="1"/>
    <col min="4867" max="4868" width="11.44140625" style="62" customWidth="1"/>
    <col min="4869" max="4869" width="24.44140625" style="62" customWidth="1"/>
    <col min="4870" max="4870" width="24.6640625" style="62" customWidth="1"/>
    <col min="4871" max="4871" width="20.6640625" style="62" customWidth="1"/>
    <col min="4872" max="4872" width="10.44140625" style="62" customWidth="1"/>
    <col min="4873" max="4873" width="42.109375" style="62" customWidth="1"/>
    <col min="4874" max="4874" width="41.6640625" style="62" customWidth="1"/>
    <col min="4875" max="4875" width="40.6640625" style="62" customWidth="1"/>
    <col min="4876" max="4876" width="2.6640625" style="62" customWidth="1"/>
    <col min="4877" max="5121" width="9.44140625" style="62"/>
    <col min="5122" max="5122" width="1.109375" style="62" customWidth="1"/>
    <col min="5123" max="5124" width="11.44140625" style="62" customWidth="1"/>
    <col min="5125" max="5125" width="24.44140625" style="62" customWidth="1"/>
    <col min="5126" max="5126" width="24.6640625" style="62" customWidth="1"/>
    <col min="5127" max="5127" width="20.6640625" style="62" customWidth="1"/>
    <col min="5128" max="5128" width="10.44140625" style="62" customWidth="1"/>
    <col min="5129" max="5129" width="42.109375" style="62" customWidth="1"/>
    <col min="5130" max="5130" width="41.6640625" style="62" customWidth="1"/>
    <col min="5131" max="5131" width="40.6640625" style="62" customWidth="1"/>
    <col min="5132" max="5132" width="2.6640625" style="62" customWidth="1"/>
    <col min="5133" max="5377" width="9.44140625" style="62"/>
    <col min="5378" max="5378" width="1.109375" style="62" customWidth="1"/>
    <col min="5379" max="5380" width="11.44140625" style="62" customWidth="1"/>
    <col min="5381" max="5381" width="24.44140625" style="62" customWidth="1"/>
    <col min="5382" max="5382" width="24.6640625" style="62" customWidth="1"/>
    <col min="5383" max="5383" width="20.6640625" style="62" customWidth="1"/>
    <col min="5384" max="5384" width="10.44140625" style="62" customWidth="1"/>
    <col min="5385" max="5385" width="42.109375" style="62" customWidth="1"/>
    <col min="5386" max="5386" width="41.6640625" style="62" customWidth="1"/>
    <col min="5387" max="5387" width="40.6640625" style="62" customWidth="1"/>
    <col min="5388" max="5388" width="2.6640625" style="62" customWidth="1"/>
    <col min="5389" max="5633" width="9.44140625" style="62"/>
    <col min="5634" max="5634" width="1.109375" style="62" customWidth="1"/>
    <col min="5635" max="5636" width="11.44140625" style="62" customWidth="1"/>
    <col min="5637" max="5637" width="24.44140625" style="62" customWidth="1"/>
    <col min="5638" max="5638" width="24.6640625" style="62" customWidth="1"/>
    <col min="5639" max="5639" width="20.6640625" style="62" customWidth="1"/>
    <col min="5640" max="5640" width="10.44140625" style="62" customWidth="1"/>
    <col min="5641" max="5641" width="42.109375" style="62" customWidth="1"/>
    <col min="5642" max="5642" width="41.6640625" style="62" customWidth="1"/>
    <col min="5643" max="5643" width="40.6640625" style="62" customWidth="1"/>
    <col min="5644" max="5644" width="2.6640625" style="62" customWidth="1"/>
    <col min="5645" max="5889" width="9.44140625" style="62"/>
    <col min="5890" max="5890" width="1.109375" style="62" customWidth="1"/>
    <col min="5891" max="5892" width="11.44140625" style="62" customWidth="1"/>
    <col min="5893" max="5893" width="24.44140625" style="62" customWidth="1"/>
    <col min="5894" max="5894" width="24.6640625" style="62" customWidth="1"/>
    <col min="5895" max="5895" width="20.6640625" style="62" customWidth="1"/>
    <col min="5896" max="5896" width="10.44140625" style="62" customWidth="1"/>
    <col min="5897" max="5897" width="42.109375" style="62" customWidth="1"/>
    <col min="5898" max="5898" width="41.6640625" style="62" customWidth="1"/>
    <col min="5899" max="5899" width="40.6640625" style="62" customWidth="1"/>
    <col min="5900" max="5900" width="2.6640625" style="62" customWidth="1"/>
    <col min="5901" max="6145" width="9.44140625" style="62"/>
    <col min="6146" max="6146" width="1.109375" style="62" customWidth="1"/>
    <col min="6147" max="6148" width="11.44140625" style="62" customWidth="1"/>
    <col min="6149" max="6149" width="24.44140625" style="62" customWidth="1"/>
    <col min="6150" max="6150" width="24.6640625" style="62" customWidth="1"/>
    <col min="6151" max="6151" width="20.6640625" style="62" customWidth="1"/>
    <col min="6152" max="6152" width="10.44140625" style="62" customWidth="1"/>
    <col min="6153" max="6153" width="42.109375" style="62" customWidth="1"/>
    <col min="6154" max="6154" width="41.6640625" style="62" customWidth="1"/>
    <col min="6155" max="6155" width="40.6640625" style="62" customWidth="1"/>
    <col min="6156" max="6156" width="2.6640625" style="62" customWidth="1"/>
    <col min="6157" max="6401" width="9.44140625" style="62"/>
    <col min="6402" max="6402" width="1.109375" style="62" customWidth="1"/>
    <col min="6403" max="6404" width="11.44140625" style="62" customWidth="1"/>
    <col min="6405" max="6405" width="24.44140625" style="62" customWidth="1"/>
    <col min="6406" max="6406" width="24.6640625" style="62" customWidth="1"/>
    <col min="6407" max="6407" width="20.6640625" style="62" customWidth="1"/>
    <col min="6408" max="6408" width="10.44140625" style="62" customWidth="1"/>
    <col min="6409" max="6409" width="42.109375" style="62" customWidth="1"/>
    <col min="6410" max="6410" width="41.6640625" style="62" customWidth="1"/>
    <col min="6411" max="6411" width="40.6640625" style="62" customWidth="1"/>
    <col min="6412" max="6412" width="2.6640625" style="62" customWidth="1"/>
    <col min="6413" max="6657" width="9.44140625" style="62"/>
    <col min="6658" max="6658" width="1.109375" style="62" customWidth="1"/>
    <col min="6659" max="6660" width="11.44140625" style="62" customWidth="1"/>
    <col min="6661" max="6661" width="24.44140625" style="62" customWidth="1"/>
    <col min="6662" max="6662" width="24.6640625" style="62" customWidth="1"/>
    <col min="6663" max="6663" width="20.6640625" style="62" customWidth="1"/>
    <col min="6664" max="6664" width="10.44140625" style="62" customWidth="1"/>
    <col min="6665" max="6665" width="42.109375" style="62" customWidth="1"/>
    <col min="6666" max="6666" width="41.6640625" style="62" customWidth="1"/>
    <col min="6667" max="6667" width="40.6640625" style="62" customWidth="1"/>
    <col min="6668" max="6668" width="2.6640625" style="62" customWidth="1"/>
    <col min="6669" max="6913" width="9.44140625" style="62"/>
    <col min="6914" max="6914" width="1.109375" style="62" customWidth="1"/>
    <col min="6915" max="6916" width="11.44140625" style="62" customWidth="1"/>
    <col min="6917" max="6917" width="24.44140625" style="62" customWidth="1"/>
    <col min="6918" max="6918" width="24.6640625" style="62" customWidth="1"/>
    <col min="6919" max="6919" width="20.6640625" style="62" customWidth="1"/>
    <col min="6920" max="6920" width="10.44140625" style="62" customWidth="1"/>
    <col min="6921" max="6921" width="42.109375" style="62" customWidth="1"/>
    <col min="6922" max="6922" width="41.6640625" style="62" customWidth="1"/>
    <col min="6923" max="6923" width="40.6640625" style="62" customWidth="1"/>
    <col min="6924" max="6924" width="2.6640625" style="62" customWidth="1"/>
    <col min="6925" max="7169" width="9.44140625" style="62"/>
    <col min="7170" max="7170" width="1.109375" style="62" customWidth="1"/>
    <col min="7171" max="7172" width="11.44140625" style="62" customWidth="1"/>
    <col min="7173" max="7173" width="24.44140625" style="62" customWidth="1"/>
    <col min="7174" max="7174" width="24.6640625" style="62" customWidth="1"/>
    <col min="7175" max="7175" width="20.6640625" style="62" customWidth="1"/>
    <col min="7176" max="7176" width="10.44140625" style="62" customWidth="1"/>
    <col min="7177" max="7177" width="42.109375" style="62" customWidth="1"/>
    <col min="7178" max="7178" width="41.6640625" style="62" customWidth="1"/>
    <col min="7179" max="7179" width="40.6640625" style="62" customWidth="1"/>
    <col min="7180" max="7180" width="2.6640625" style="62" customWidth="1"/>
    <col min="7181" max="7425" width="9.44140625" style="62"/>
    <col min="7426" max="7426" width="1.109375" style="62" customWidth="1"/>
    <col min="7427" max="7428" width="11.44140625" style="62" customWidth="1"/>
    <col min="7429" max="7429" width="24.44140625" style="62" customWidth="1"/>
    <col min="7430" max="7430" width="24.6640625" style="62" customWidth="1"/>
    <col min="7431" max="7431" width="20.6640625" style="62" customWidth="1"/>
    <col min="7432" max="7432" width="10.44140625" style="62" customWidth="1"/>
    <col min="7433" max="7433" width="42.109375" style="62" customWidth="1"/>
    <col min="7434" max="7434" width="41.6640625" style="62" customWidth="1"/>
    <col min="7435" max="7435" width="40.6640625" style="62" customWidth="1"/>
    <col min="7436" max="7436" width="2.6640625" style="62" customWidth="1"/>
    <col min="7437" max="7681" width="9.44140625" style="62"/>
    <col min="7682" max="7682" width="1.109375" style="62" customWidth="1"/>
    <col min="7683" max="7684" width="11.44140625" style="62" customWidth="1"/>
    <col min="7685" max="7685" width="24.44140625" style="62" customWidth="1"/>
    <col min="7686" max="7686" width="24.6640625" style="62" customWidth="1"/>
    <col min="7687" max="7687" width="20.6640625" style="62" customWidth="1"/>
    <col min="7688" max="7688" width="10.44140625" style="62" customWidth="1"/>
    <col min="7689" max="7689" width="42.109375" style="62" customWidth="1"/>
    <col min="7690" max="7690" width="41.6640625" style="62" customWidth="1"/>
    <col min="7691" max="7691" width="40.6640625" style="62" customWidth="1"/>
    <col min="7692" max="7692" width="2.6640625" style="62" customWidth="1"/>
    <col min="7693" max="7937" width="9.44140625" style="62"/>
    <col min="7938" max="7938" width="1.109375" style="62" customWidth="1"/>
    <col min="7939" max="7940" width="11.44140625" style="62" customWidth="1"/>
    <col min="7941" max="7941" width="24.44140625" style="62" customWidth="1"/>
    <col min="7942" max="7942" width="24.6640625" style="62" customWidth="1"/>
    <col min="7943" max="7943" width="20.6640625" style="62" customWidth="1"/>
    <col min="7944" max="7944" width="10.44140625" style="62" customWidth="1"/>
    <col min="7945" max="7945" width="42.109375" style="62" customWidth="1"/>
    <col min="7946" max="7946" width="41.6640625" style="62" customWidth="1"/>
    <col min="7947" max="7947" width="40.6640625" style="62" customWidth="1"/>
    <col min="7948" max="7948" width="2.6640625" style="62" customWidth="1"/>
    <col min="7949" max="8193" width="9.44140625" style="62"/>
    <col min="8194" max="8194" width="1.109375" style="62" customWidth="1"/>
    <col min="8195" max="8196" width="11.44140625" style="62" customWidth="1"/>
    <col min="8197" max="8197" width="24.44140625" style="62" customWidth="1"/>
    <col min="8198" max="8198" width="24.6640625" style="62" customWidth="1"/>
    <col min="8199" max="8199" width="20.6640625" style="62" customWidth="1"/>
    <col min="8200" max="8200" width="10.44140625" style="62" customWidth="1"/>
    <col min="8201" max="8201" width="42.109375" style="62" customWidth="1"/>
    <col min="8202" max="8202" width="41.6640625" style="62" customWidth="1"/>
    <col min="8203" max="8203" width="40.6640625" style="62" customWidth="1"/>
    <col min="8204" max="8204" width="2.6640625" style="62" customWidth="1"/>
    <col min="8205" max="8449" width="9.44140625" style="62"/>
    <col min="8450" max="8450" width="1.109375" style="62" customWidth="1"/>
    <col min="8451" max="8452" width="11.44140625" style="62" customWidth="1"/>
    <col min="8453" max="8453" width="24.44140625" style="62" customWidth="1"/>
    <col min="8454" max="8454" width="24.6640625" style="62" customWidth="1"/>
    <col min="8455" max="8455" width="20.6640625" style="62" customWidth="1"/>
    <col min="8456" max="8456" width="10.44140625" style="62" customWidth="1"/>
    <col min="8457" max="8457" width="42.109375" style="62" customWidth="1"/>
    <col min="8458" max="8458" width="41.6640625" style="62" customWidth="1"/>
    <col min="8459" max="8459" width="40.6640625" style="62" customWidth="1"/>
    <col min="8460" max="8460" width="2.6640625" style="62" customWidth="1"/>
    <col min="8461" max="8705" width="9.44140625" style="62"/>
    <col min="8706" max="8706" width="1.109375" style="62" customWidth="1"/>
    <col min="8707" max="8708" width="11.44140625" style="62" customWidth="1"/>
    <col min="8709" max="8709" width="24.44140625" style="62" customWidth="1"/>
    <col min="8710" max="8710" width="24.6640625" style="62" customWidth="1"/>
    <col min="8711" max="8711" width="20.6640625" style="62" customWidth="1"/>
    <col min="8712" max="8712" width="10.44140625" style="62" customWidth="1"/>
    <col min="8713" max="8713" width="42.109375" style="62" customWidth="1"/>
    <col min="8714" max="8714" width="41.6640625" style="62" customWidth="1"/>
    <col min="8715" max="8715" width="40.6640625" style="62" customWidth="1"/>
    <col min="8716" max="8716" width="2.6640625" style="62" customWidth="1"/>
    <col min="8717" max="8961" width="9.44140625" style="62"/>
    <col min="8962" max="8962" width="1.109375" style="62" customWidth="1"/>
    <col min="8963" max="8964" width="11.44140625" style="62" customWidth="1"/>
    <col min="8965" max="8965" width="24.44140625" style="62" customWidth="1"/>
    <col min="8966" max="8966" width="24.6640625" style="62" customWidth="1"/>
    <col min="8967" max="8967" width="20.6640625" style="62" customWidth="1"/>
    <col min="8968" max="8968" width="10.44140625" style="62" customWidth="1"/>
    <col min="8969" max="8969" width="42.109375" style="62" customWidth="1"/>
    <col min="8970" max="8970" width="41.6640625" style="62" customWidth="1"/>
    <col min="8971" max="8971" width="40.6640625" style="62" customWidth="1"/>
    <col min="8972" max="8972" width="2.6640625" style="62" customWidth="1"/>
    <col min="8973" max="9217" width="9.44140625" style="62"/>
    <col min="9218" max="9218" width="1.109375" style="62" customWidth="1"/>
    <col min="9219" max="9220" width="11.44140625" style="62" customWidth="1"/>
    <col min="9221" max="9221" width="24.44140625" style="62" customWidth="1"/>
    <col min="9222" max="9222" width="24.6640625" style="62" customWidth="1"/>
    <col min="9223" max="9223" width="20.6640625" style="62" customWidth="1"/>
    <col min="9224" max="9224" width="10.44140625" style="62" customWidth="1"/>
    <col min="9225" max="9225" width="42.109375" style="62" customWidth="1"/>
    <col min="9226" max="9226" width="41.6640625" style="62" customWidth="1"/>
    <col min="9227" max="9227" width="40.6640625" style="62" customWidth="1"/>
    <col min="9228" max="9228" width="2.6640625" style="62" customWidth="1"/>
    <col min="9229" max="9473" width="9.44140625" style="62"/>
    <col min="9474" max="9474" width="1.109375" style="62" customWidth="1"/>
    <col min="9475" max="9476" width="11.44140625" style="62" customWidth="1"/>
    <col min="9477" max="9477" width="24.44140625" style="62" customWidth="1"/>
    <col min="9478" max="9478" width="24.6640625" style="62" customWidth="1"/>
    <col min="9479" max="9479" width="20.6640625" style="62" customWidth="1"/>
    <col min="9480" max="9480" width="10.44140625" style="62" customWidth="1"/>
    <col min="9481" max="9481" width="42.109375" style="62" customWidth="1"/>
    <col min="9482" max="9482" width="41.6640625" style="62" customWidth="1"/>
    <col min="9483" max="9483" width="40.6640625" style="62" customWidth="1"/>
    <col min="9484" max="9484" width="2.6640625" style="62" customWidth="1"/>
    <col min="9485" max="9729" width="9.44140625" style="62"/>
    <col min="9730" max="9730" width="1.109375" style="62" customWidth="1"/>
    <col min="9731" max="9732" width="11.44140625" style="62" customWidth="1"/>
    <col min="9733" max="9733" width="24.44140625" style="62" customWidth="1"/>
    <col min="9734" max="9734" width="24.6640625" style="62" customWidth="1"/>
    <col min="9735" max="9735" width="20.6640625" style="62" customWidth="1"/>
    <col min="9736" max="9736" width="10.44140625" style="62" customWidth="1"/>
    <col min="9737" max="9737" width="42.109375" style="62" customWidth="1"/>
    <col min="9738" max="9738" width="41.6640625" style="62" customWidth="1"/>
    <col min="9739" max="9739" width="40.6640625" style="62" customWidth="1"/>
    <col min="9740" max="9740" width="2.6640625" style="62" customWidth="1"/>
    <col min="9741" max="9985" width="9.44140625" style="62"/>
    <col min="9986" max="9986" width="1.109375" style="62" customWidth="1"/>
    <col min="9987" max="9988" width="11.44140625" style="62" customWidth="1"/>
    <col min="9989" max="9989" width="24.44140625" style="62" customWidth="1"/>
    <col min="9990" max="9990" width="24.6640625" style="62" customWidth="1"/>
    <col min="9991" max="9991" width="20.6640625" style="62" customWidth="1"/>
    <col min="9992" max="9992" width="10.44140625" style="62" customWidth="1"/>
    <col min="9993" max="9993" width="42.109375" style="62" customWidth="1"/>
    <col min="9994" max="9994" width="41.6640625" style="62" customWidth="1"/>
    <col min="9995" max="9995" width="40.6640625" style="62" customWidth="1"/>
    <col min="9996" max="9996" width="2.6640625" style="62" customWidth="1"/>
    <col min="9997" max="10241" width="9.44140625" style="62"/>
    <col min="10242" max="10242" width="1.109375" style="62" customWidth="1"/>
    <col min="10243" max="10244" width="11.44140625" style="62" customWidth="1"/>
    <col min="10245" max="10245" width="24.44140625" style="62" customWidth="1"/>
    <col min="10246" max="10246" width="24.6640625" style="62" customWidth="1"/>
    <col min="10247" max="10247" width="20.6640625" style="62" customWidth="1"/>
    <col min="10248" max="10248" width="10.44140625" style="62" customWidth="1"/>
    <col min="10249" max="10249" width="42.109375" style="62" customWidth="1"/>
    <col min="10250" max="10250" width="41.6640625" style="62" customWidth="1"/>
    <col min="10251" max="10251" width="40.6640625" style="62" customWidth="1"/>
    <col min="10252" max="10252" width="2.6640625" style="62" customWidth="1"/>
    <col min="10253" max="10497" width="9.44140625" style="62"/>
    <col min="10498" max="10498" width="1.109375" style="62" customWidth="1"/>
    <col min="10499" max="10500" width="11.44140625" style="62" customWidth="1"/>
    <col min="10501" max="10501" width="24.44140625" style="62" customWidth="1"/>
    <col min="10502" max="10502" width="24.6640625" style="62" customWidth="1"/>
    <col min="10503" max="10503" width="20.6640625" style="62" customWidth="1"/>
    <col min="10504" max="10504" width="10.44140625" style="62" customWidth="1"/>
    <col min="10505" max="10505" width="42.109375" style="62" customWidth="1"/>
    <col min="10506" max="10506" width="41.6640625" style="62" customWidth="1"/>
    <col min="10507" max="10507" width="40.6640625" style="62" customWidth="1"/>
    <col min="10508" max="10508" width="2.6640625" style="62" customWidth="1"/>
    <col min="10509" max="10753" width="9.44140625" style="62"/>
    <col min="10754" max="10754" width="1.109375" style="62" customWidth="1"/>
    <col min="10755" max="10756" width="11.44140625" style="62" customWidth="1"/>
    <col min="10757" max="10757" width="24.44140625" style="62" customWidth="1"/>
    <col min="10758" max="10758" width="24.6640625" style="62" customWidth="1"/>
    <col min="10759" max="10759" width="20.6640625" style="62" customWidth="1"/>
    <col min="10760" max="10760" width="10.44140625" style="62" customWidth="1"/>
    <col min="10761" max="10761" width="42.109375" style="62" customWidth="1"/>
    <col min="10762" max="10762" width="41.6640625" style="62" customWidth="1"/>
    <col min="10763" max="10763" width="40.6640625" style="62" customWidth="1"/>
    <col min="10764" max="10764" width="2.6640625" style="62" customWidth="1"/>
    <col min="10765" max="11009" width="9.44140625" style="62"/>
    <col min="11010" max="11010" width="1.109375" style="62" customWidth="1"/>
    <col min="11011" max="11012" width="11.44140625" style="62" customWidth="1"/>
    <col min="11013" max="11013" width="24.44140625" style="62" customWidth="1"/>
    <col min="11014" max="11014" width="24.6640625" style="62" customWidth="1"/>
    <col min="11015" max="11015" width="20.6640625" style="62" customWidth="1"/>
    <col min="11016" max="11016" width="10.44140625" style="62" customWidth="1"/>
    <col min="11017" max="11017" width="42.109375" style="62" customWidth="1"/>
    <col min="11018" max="11018" width="41.6640625" style="62" customWidth="1"/>
    <col min="11019" max="11019" width="40.6640625" style="62" customWidth="1"/>
    <col min="11020" max="11020" width="2.6640625" style="62" customWidth="1"/>
    <col min="11021" max="11265" width="9.44140625" style="62"/>
    <col min="11266" max="11266" width="1.109375" style="62" customWidth="1"/>
    <col min="11267" max="11268" width="11.44140625" style="62" customWidth="1"/>
    <col min="11269" max="11269" width="24.44140625" style="62" customWidth="1"/>
    <col min="11270" max="11270" width="24.6640625" style="62" customWidth="1"/>
    <col min="11271" max="11271" width="20.6640625" style="62" customWidth="1"/>
    <col min="11272" max="11272" width="10.44140625" style="62" customWidth="1"/>
    <col min="11273" max="11273" width="42.109375" style="62" customWidth="1"/>
    <col min="11274" max="11274" width="41.6640625" style="62" customWidth="1"/>
    <col min="11275" max="11275" width="40.6640625" style="62" customWidth="1"/>
    <col min="11276" max="11276" width="2.6640625" style="62" customWidth="1"/>
    <col min="11277" max="11521" width="9.44140625" style="62"/>
    <col min="11522" max="11522" width="1.109375" style="62" customWidth="1"/>
    <col min="11523" max="11524" width="11.44140625" style="62" customWidth="1"/>
    <col min="11525" max="11525" width="24.44140625" style="62" customWidth="1"/>
    <col min="11526" max="11526" width="24.6640625" style="62" customWidth="1"/>
    <col min="11527" max="11527" width="20.6640625" style="62" customWidth="1"/>
    <col min="11528" max="11528" width="10.44140625" style="62" customWidth="1"/>
    <col min="11529" max="11529" width="42.109375" style="62" customWidth="1"/>
    <col min="11530" max="11530" width="41.6640625" style="62" customWidth="1"/>
    <col min="11531" max="11531" width="40.6640625" style="62" customWidth="1"/>
    <col min="11532" max="11532" width="2.6640625" style="62" customWidth="1"/>
    <col min="11533" max="11777" width="9.44140625" style="62"/>
    <col min="11778" max="11778" width="1.109375" style="62" customWidth="1"/>
    <col min="11779" max="11780" width="11.44140625" style="62" customWidth="1"/>
    <col min="11781" max="11781" width="24.44140625" style="62" customWidth="1"/>
    <col min="11782" max="11782" width="24.6640625" style="62" customWidth="1"/>
    <col min="11783" max="11783" width="20.6640625" style="62" customWidth="1"/>
    <col min="11784" max="11784" width="10.44140625" style="62" customWidth="1"/>
    <col min="11785" max="11785" width="42.109375" style="62" customWidth="1"/>
    <col min="11786" max="11786" width="41.6640625" style="62" customWidth="1"/>
    <col min="11787" max="11787" width="40.6640625" style="62" customWidth="1"/>
    <col min="11788" max="11788" width="2.6640625" style="62" customWidth="1"/>
    <col min="11789" max="12033" width="9.44140625" style="62"/>
    <col min="12034" max="12034" width="1.109375" style="62" customWidth="1"/>
    <col min="12035" max="12036" width="11.44140625" style="62" customWidth="1"/>
    <col min="12037" max="12037" width="24.44140625" style="62" customWidth="1"/>
    <col min="12038" max="12038" width="24.6640625" style="62" customWidth="1"/>
    <col min="12039" max="12039" width="20.6640625" style="62" customWidth="1"/>
    <col min="12040" max="12040" width="10.44140625" style="62" customWidth="1"/>
    <col min="12041" max="12041" width="42.109375" style="62" customWidth="1"/>
    <col min="12042" max="12042" width="41.6640625" style="62" customWidth="1"/>
    <col min="12043" max="12043" width="40.6640625" style="62" customWidth="1"/>
    <col min="12044" max="12044" width="2.6640625" style="62" customWidth="1"/>
    <col min="12045" max="12289" width="9.44140625" style="62"/>
    <col min="12290" max="12290" width="1.109375" style="62" customWidth="1"/>
    <col min="12291" max="12292" width="11.44140625" style="62" customWidth="1"/>
    <col min="12293" max="12293" width="24.44140625" style="62" customWidth="1"/>
    <col min="12294" max="12294" width="24.6640625" style="62" customWidth="1"/>
    <col min="12295" max="12295" width="20.6640625" style="62" customWidth="1"/>
    <col min="12296" max="12296" width="10.44140625" style="62" customWidth="1"/>
    <col min="12297" max="12297" width="42.109375" style="62" customWidth="1"/>
    <col min="12298" max="12298" width="41.6640625" style="62" customWidth="1"/>
    <col min="12299" max="12299" width="40.6640625" style="62" customWidth="1"/>
    <col min="12300" max="12300" width="2.6640625" style="62" customWidth="1"/>
    <col min="12301" max="12545" width="9.44140625" style="62"/>
    <col min="12546" max="12546" width="1.109375" style="62" customWidth="1"/>
    <col min="12547" max="12548" width="11.44140625" style="62" customWidth="1"/>
    <col min="12549" max="12549" width="24.44140625" style="62" customWidth="1"/>
    <col min="12550" max="12550" width="24.6640625" style="62" customWidth="1"/>
    <col min="12551" max="12551" width="20.6640625" style="62" customWidth="1"/>
    <col min="12552" max="12552" width="10.44140625" style="62" customWidth="1"/>
    <col min="12553" max="12553" width="42.109375" style="62" customWidth="1"/>
    <col min="12554" max="12554" width="41.6640625" style="62" customWidth="1"/>
    <col min="12555" max="12555" width="40.6640625" style="62" customWidth="1"/>
    <col min="12556" max="12556" width="2.6640625" style="62" customWidth="1"/>
    <col min="12557" max="12801" width="9.44140625" style="62"/>
    <col min="12802" max="12802" width="1.109375" style="62" customWidth="1"/>
    <col min="12803" max="12804" width="11.44140625" style="62" customWidth="1"/>
    <col min="12805" max="12805" width="24.44140625" style="62" customWidth="1"/>
    <col min="12806" max="12806" width="24.6640625" style="62" customWidth="1"/>
    <col min="12807" max="12807" width="20.6640625" style="62" customWidth="1"/>
    <col min="12808" max="12808" width="10.44140625" style="62" customWidth="1"/>
    <col min="12809" max="12809" width="42.109375" style="62" customWidth="1"/>
    <col min="12810" max="12810" width="41.6640625" style="62" customWidth="1"/>
    <col min="12811" max="12811" width="40.6640625" style="62" customWidth="1"/>
    <col min="12812" max="12812" width="2.6640625" style="62" customWidth="1"/>
    <col min="12813" max="13057" width="9.44140625" style="62"/>
    <col min="13058" max="13058" width="1.109375" style="62" customWidth="1"/>
    <col min="13059" max="13060" width="11.44140625" style="62" customWidth="1"/>
    <col min="13061" max="13061" width="24.44140625" style="62" customWidth="1"/>
    <col min="13062" max="13062" width="24.6640625" style="62" customWidth="1"/>
    <col min="13063" max="13063" width="20.6640625" style="62" customWidth="1"/>
    <col min="13064" max="13064" width="10.44140625" style="62" customWidth="1"/>
    <col min="13065" max="13065" width="42.109375" style="62" customWidth="1"/>
    <col min="13066" max="13066" width="41.6640625" style="62" customWidth="1"/>
    <col min="13067" max="13067" width="40.6640625" style="62" customWidth="1"/>
    <col min="13068" max="13068" width="2.6640625" style="62" customWidth="1"/>
    <col min="13069" max="13313" width="9.44140625" style="62"/>
    <col min="13314" max="13314" width="1.109375" style="62" customWidth="1"/>
    <col min="13315" max="13316" width="11.44140625" style="62" customWidth="1"/>
    <col min="13317" max="13317" width="24.44140625" style="62" customWidth="1"/>
    <col min="13318" max="13318" width="24.6640625" style="62" customWidth="1"/>
    <col min="13319" max="13319" width="20.6640625" style="62" customWidth="1"/>
    <col min="13320" max="13320" width="10.44140625" style="62" customWidth="1"/>
    <col min="13321" max="13321" width="42.109375" style="62" customWidth="1"/>
    <col min="13322" max="13322" width="41.6640625" style="62" customWidth="1"/>
    <col min="13323" max="13323" width="40.6640625" style="62" customWidth="1"/>
    <col min="13324" max="13324" width="2.6640625" style="62" customWidth="1"/>
    <col min="13325" max="13569" width="9.44140625" style="62"/>
    <col min="13570" max="13570" width="1.109375" style="62" customWidth="1"/>
    <col min="13571" max="13572" width="11.44140625" style="62" customWidth="1"/>
    <col min="13573" max="13573" width="24.44140625" style="62" customWidth="1"/>
    <col min="13574" max="13574" width="24.6640625" style="62" customWidth="1"/>
    <col min="13575" max="13575" width="20.6640625" style="62" customWidth="1"/>
    <col min="13576" max="13576" width="10.44140625" style="62" customWidth="1"/>
    <col min="13577" max="13577" width="42.109375" style="62" customWidth="1"/>
    <col min="13578" max="13578" width="41.6640625" style="62" customWidth="1"/>
    <col min="13579" max="13579" width="40.6640625" style="62" customWidth="1"/>
    <col min="13580" max="13580" width="2.6640625" style="62" customWidth="1"/>
    <col min="13581" max="13825" width="9.44140625" style="62"/>
    <col min="13826" max="13826" width="1.109375" style="62" customWidth="1"/>
    <col min="13827" max="13828" width="11.44140625" style="62" customWidth="1"/>
    <col min="13829" max="13829" width="24.44140625" style="62" customWidth="1"/>
    <col min="13830" max="13830" width="24.6640625" style="62" customWidth="1"/>
    <col min="13831" max="13831" width="20.6640625" style="62" customWidth="1"/>
    <col min="13832" max="13832" width="10.44140625" style="62" customWidth="1"/>
    <col min="13833" max="13833" width="42.109375" style="62" customWidth="1"/>
    <col min="13834" max="13834" width="41.6640625" style="62" customWidth="1"/>
    <col min="13835" max="13835" width="40.6640625" style="62" customWidth="1"/>
    <col min="13836" max="13836" width="2.6640625" style="62" customWidth="1"/>
    <col min="13837" max="14081" width="9.44140625" style="62"/>
    <col min="14082" max="14082" width="1.109375" style="62" customWidth="1"/>
    <col min="14083" max="14084" width="11.44140625" style="62" customWidth="1"/>
    <col min="14085" max="14085" width="24.44140625" style="62" customWidth="1"/>
    <col min="14086" max="14086" width="24.6640625" style="62" customWidth="1"/>
    <col min="14087" max="14087" width="20.6640625" style="62" customWidth="1"/>
    <col min="14088" max="14088" width="10.44140625" style="62" customWidth="1"/>
    <col min="14089" max="14089" width="42.109375" style="62" customWidth="1"/>
    <col min="14090" max="14090" width="41.6640625" style="62" customWidth="1"/>
    <col min="14091" max="14091" width="40.6640625" style="62" customWidth="1"/>
    <col min="14092" max="14092" width="2.6640625" style="62" customWidth="1"/>
    <col min="14093" max="14337" width="9.44140625" style="62"/>
    <col min="14338" max="14338" width="1.109375" style="62" customWidth="1"/>
    <col min="14339" max="14340" width="11.44140625" style="62" customWidth="1"/>
    <col min="14341" max="14341" width="24.44140625" style="62" customWidth="1"/>
    <col min="14342" max="14342" width="24.6640625" style="62" customWidth="1"/>
    <col min="14343" max="14343" width="20.6640625" style="62" customWidth="1"/>
    <col min="14344" max="14344" width="10.44140625" style="62" customWidth="1"/>
    <col min="14345" max="14345" width="42.109375" style="62" customWidth="1"/>
    <col min="14346" max="14346" width="41.6640625" style="62" customWidth="1"/>
    <col min="14347" max="14347" width="40.6640625" style="62" customWidth="1"/>
    <col min="14348" max="14348" width="2.6640625" style="62" customWidth="1"/>
    <col min="14349" max="14593" width="9.44140625" style="62"/>
    <col min="14594" max="14594" width="1.109375" style="62" customWidth="1"/>
    <col min="14595" max="14596" width="11.44140625" style="62" customWidth="1"/>
    <col min="14597" max="14597" width="24.44140625" style="62" customWidth="1"/>
    <col min="14598" max="14598" width="24.6640625" style="62" customWidth="1"/>
    <col min="14599" max="14599" width="20.6640625" style="62" customWidth="1"/>
    <col min="14600" max="14600" width="10.44140625" style="62" customWidth="1"/>
    <col min="14601" max="14601" width="42.109375" style="62" customWidth="1"/>
    <col min="14602" max="14602" width="41.6640625" style="62" customWidth="1"/>
    <col min="14603" max="14603" width="40.6640625" style="62" customWidth="1"/>
    <col min="14604" max="14604" width="2.6640625" style="62" customWidth="1"/>
    <col min="14605" max="14849" width="9.44140625" style="62"/>
    <col min="14850" max="14850" width="1.109375" style="62" customWidth="1"/>
    <col min="14851" max="14852" width="11.44140625" style="62" customWidth="1"/>
    <col min="14853" max="14853" width="24.44140625" style="62" customWidth="1"/>
    <col min="14854" max="14854" width="24.6640625" style="62" customWidth="1"/>
    <col min="14855" max="14855" width="20.6640625" style="62" customWidth="1"/>
    <col min="14856" max="14856" width="10.44140625" style="62" customWidth="1"/>
    <col min="14857" max="14857" width="42.109375" style="62" customWidth="1"/>
    <col min="14858" max="14858" width="41.6640625" style="62" customWidth="1"/>
    <col min="14859" max="14859" width="40.6640625" style="62" customWidth="1"/>
    <col min="14860" max="14860" width="2.6640625" style="62" customWidth="1"/>
    <col min="14861" max="15105" width="9.44140625" style="62"/>
    <col min="15106" max="15106" width="1.109375" style="62" customWidth="1"/>
    <col min="15107" max="15108" width="11.44140625" style="62" customWidth="1"/>
    <col min="15109" max="15109" width="24.44140625" style="62" customWidth="1"/>
    <col min="15110" max="15110" width="24.6640625" style="62" customWidth="1"/>
    <col min="15111" max="15111" width="20.6640625" style="62" customWidth="1"/>
    <col min="15112" max="15112" width="10.44140625" style="62" customWidth="1"/>
    <col min="15113" max="15113" width="42.109375" style="62" customWidth="1"/>
    <col min="15114" max="15114" width="41.6640625" style="62" customWidth="1"/>
    <col min="15115" max="15115" width="40.6640625" style="62" customWidth="1"/>
    <col min="15116" max="15116" width="2.6640625" style="62" customWidth="1"/>
    <col min="15117" max="15361" width="9.44140625" style="62"/>
    <col min="15362" max="15362" width="1.109375" style="62" customWidth="1"/>
    <col min="15363" max="15364" width="11.44140625" style="62" customWidth="1"/>
    <col min="15365" max="15365" width="24.44140625" style="62" customWidth="1"/>
    <col min="15366" max="15366" width="24.6640625" style="62" customWidth="1"/>
    <col min="15367" max="15367" width="20.6640625" style="62" customWidth="1"/>
    <col min="15368" max="15368" width="10.44140625" style="62" customWidth="1"/>
    <col min="15369" max="15369" width="42.109375" style="62" customWidth="1"/>
    <col min="15370" max="15370" width="41.6640625" style="62" customWidth="1"/>
    <col min="15371" max="15371" width="40.6640625" style="62" customWidth="1"/>
    <col min="15372" max="15372" width="2.6640625" style="62" customWidth="1"/>
    <col min="15373" max="15617" width="9.44140625" style="62"/>
    <col min="15618" max="15618" width="1.109375" style="62" customWidth="1"/>
    <col min="15619" max="15620" width="11.44140625" style="62" customWidth="1"/>
    <col min="15621" max="15621" width="24.44140625" style="62" customWidth="1"/>
    <col min="15622" max="15622" width="24.6640625" style="62" customWidth="1"/>
    <col min="15623" max="15623" width="20.6640625" style="62" customWidth="1"/>
    <col min="15624" max="15624" width="10.44140625" style="62" customWidth="1"/>
    <col min="15625" max="15625" width="42.109375" style="62" customWidth="1"/>
    <col min="15626" max="15626" width="41.6640625" style="62" customWidth="1"/>
    <col min="15627" max="15627" width="40.6640625" style="62" customWidth="1"/>
    <col min="15628" max="15628" width="2.6640625" style="62" customWidth="1"/>
    <col min="15629" max="15873" width="9.44140625" style="62"/>
    <col min="15874" max="15874" width="1.109375" style="62" customWidth="1"/>
    <col min="15875" max="15876" width="11.44140625" style="62" customWidth="1"/>
    <col min="15877" max="15877" width="24.44140625" style="62" customWidth="1"/>
    <col min="15878" max="15878" width="24.6640625" style="62" customWidth="1"/>
    <col min="15879" max="15879" width="20.6640625" style="62" customWidth="1"/>
    <col min="15880" max="15880" width="10.44140625" style="62" customWidth="1"/>
    <col min="15881" max="15881" width="42.109375" style="62" customWidth="1"/>
    <col min="15882" max="15882" width="41.6640625" style="62" customWidth="1"/>
    <col min="15883" max="15883" width="40.6640625" style="62" customWidth="1"/>
    <col min="15884" max="15884" width="2.6640625" style="62" customWidth="1"/>
    <col min="15885" max="16129" width="9.44140625" style="62"/>
    <col min="16130" max="16130" width="1.109375" style="62" customWidth="1"/>
    <col min="16131" max="16132" width="11.44140625" style="62" customWidth="1"/>
    <col min="16133" max="16133" width="24.44140625" style="62" customWidth="1"/>
    <col min="16134" max="16134" width="24.6640625" style="62" customWidth="1"/>
    <col min="16135" max="16135" width="20.6640625" style="62" customWidth="1"/>
    <col min="16136" max="16136" width="10.44140625" style="62" customWidth="1"/>
    <col min="16137" max="16137" width="42.109375" style="62" customWidth="1"/>
    <col min="16138" max="16138" width="41.6640625" style="62" customWidth="1"/>
    <col min="16139" max="16139" width="40.6640625" style="62" customWidth="1"/>
    <col min="16140" max="16140" width="2.6640625" style="62" customWidth="1"/>
    <col min="16141" max="16384" width="9.44140625" style="62"/>
  </cols>
  <sheetData>
    <row r="1" spans="1:11" ht="36.6" x14ac:dyDescent="0.7">
      <c r="B1" s="63" t="s">
        <v>25</v>
      </c>
      <c r="C1" s="63"/>
      <c r="D1" s="63"/>
    </row>
    <row r="2" spans="1:11" ht="21" x14ac:dyDescent="0.4">
      <c r="B2" s="65" t="s">
        <v>26</v>
      </c>
      <c r="C2" s="65"/>
      <c r="D2" s="65"/>
    </row>
    <row r="3" spans="1:11" x14ac:dyDescent="0.3">
      <c r="C3" s="62">
        <f>E:E</f>
        <v>0</v>
      </c>
    </row>
    <row r="4" spans="1:11" ht="15" customHeight="1" x14ac:dyDescent="0.3">
      <c r="E4" s="98" t="s">
        <v>27</v>
      </c>
      <c r="F4" s="98"/>
      <c r="G4" s="98"/>
      <c r="H4" s="98"/>
      <c r="I4" s="66"/>
      <c r="J4" s="66"/>
      <c r="K4" s="66"/>
    </row>
    <row r="5" spans="1:11" ht="44.25" customHeight="1" x14ac:dyDescent="0.3">
      <c r="B5" s="96" t="s">
        <v>28</v>
      </c>
      <c r="C5" s="96" t="s">
        <v>29</v>
      </c>
      <c r="D5" s="96" t="s">
        <v>30</v>
      </c>
      <c r="E5" s="96" t="s">
        <v>31</v>
      </c>
      <c r="F5" s="96" t="s">
        <v>32</v>
      </c>
      <c r="G5" s="96" t="s">
        <v>33</v>
      </c>
      <c r="H5" s="96" t="s">
        <v>34</v>
      </c>
      <c r="I5" s="96" t="s">
        <v>35</v>
      </c>
      <c r="J5" s="96" t="s">
        <v>36</v>
      </c>
      <c r="K5" s="96" t="s">
        <v>37</v>
      </c>
    </row>
    <row r="6" spans="1:11" ht="15" customHeight="1" x14ac:dyDescent="0.3">
      <c r="B6" s="99" t="s">
        <v>38</v>
      </c>
      <c r="C6" s="100"/>
      <c r="D6" s="106"/>
      <c r="E6" s="101"/>
      <c r="F6" s="102"/>
      <c r="G6" s="102"/>
      <c r="H6" s="67"/>
      <c r="I6" s="68"/>
      <c r="J6" s="68"/>
      <c r="K6" s="68"/>
    </row>
    <row r="7" spans="1:11" ht="15" customHeight="1" x14ac:dyDescent="0.3">
      <c r="B7" s="99"/>
      <c r="C7" s="100"/>
      <c r="D7" s="107"/>
      <c r="E7" s="101"/>
      <c r="F7" s="102"/>
      <c r="G7" s="102"/>
      <c r="H7" s="67"/>
      <c r="I7" s="68"/>
      <c r="J7" s="68"/>
      <c r="K7" s="68"/>
    </row>
    <row r="8" spans="1:11" ht="15" customHeight="1" x14ac:dyDescent="0.3">
      <c r="B8" s="99"/>
      <c r="C8" s="100"/>
      <c r="D8" s="107"/>
      <c r="E8" s="101"/>
      <c r="F8" s="102"/>
      <c r="G8" s="102"/>
      <c r="H8" s="67"/>
      <c r="I8" s="68"/>
      <c r="J8" s="68"/>
      <c r="K8" s="68"/>
    </row>
    <row r="9" spans="1:11" ht="15" customHeight="1" x14ac:dyDescent="0.3">
      <c r="B9" s="99"/>
      <c r="C9" s="100"/>
      <c r="D9" s="107"/>
      <c r="E9" s="101"/>
      <c r="F9" s="102"/>
      <c r="G9" s="102"/>
      <c r="H9" s="67"/>
      <c r="I9" s="68"/>
      <c r="J9" s="68"/>
      <c r="K9" s="68"/>
    </row>
    <row r="10" spans="1:11" ht="15.75" customHeight="1" x14ac:dyDescent="0.3">
      <c r="B10" s="99"/>
      <c r="C10" s="100"/>
      <c r="D10" s="108"/>
      <c r="E10" s="101"/>
      <c r="F10" s="102"/>
      <c r="G10" s="102"/>
      <c r="H10" s="67"/>
      <c r="I10" s="68"/>
      <c r="J10" s="68"/>
      <c r="K10" s="68"/>
    </row>
    <row r="11" spans="1:11" ht="30" customHeight="1" x14ac:dyDescent="0.3">
      <c r="B11" s="99" t="s">
        <v>39</v>
      </c>
      <c r="C11" s="100"/>
      <c r="D11" s="106"/>
      <c r="E11" s="101"/>
      <c r="F11" s="102"/>
      <c r="G11" s="102"/>
      <c r="H11" s="67"/>
      <c r="I11" s="68"/>
      <c r="J11" s="68"/>
      <c r="K11" s="68"/>
    </row>
    <row r="12" spans="1:11" ht="30" customHeight="1" x14ac:dyDescent="0.3">
      <c r="B12" s="99"/>
      <c r="C12" s="100"/>
      <c r="D12" s="107"/>
      <c r="E12" s="101"/>
      <c r="F12" s="102"/>
      <c r="G12" s="102"/>
      <c r="H12" s="67"/>
      <c r="I12" s="68"/>
      <c r="J12" s="68"/>
      <c r="K12" s="68"/>
    </row>
    <row r="13" spans="1:11" ht="30" customHeight="1" x14ac:dyDescent="0.3">
      <c r="B13" s="99"/>
      <c r="C13" s="100"/>
      <c r="D13" s="107"/>
      <c r="E13" s="101"/>
      <c r="F13" s="102"/>
      <c r="G13" s="102"/>
      <c r="H13" s="67"/>
      <c r="I13" s="68"/>
      <c r="J13" s="68"/>
      <c r="K13" s="68"/>
    </row>
    <row r="14" spans="1:11" ht="15" customHeight="1" x14ac:dyDescent="0.3">
      <c r="B14" s="99"/>
      <c r="C14" s="100"/>
      <c r="D14" s="108"/>
      <c r="E14" s="101"/>
      <c r="F14" s="102"/>
      <c r="G14" s="102"/>
      <c r="H14" s="67"/>
      <c r="I14" s="68"/>
      <c r="J14" s="68"/>
    </row>
    <row r="15" spans="1:11" ht="15" customHeight="1" x14ac:dyDescent="0.3">
      <c r="B15" s="99" t="s">
        <v>40</v>
      </c>
      <c r="C15" s="100"/>
      <c r="D15" s="106"/>
      <c r="E15" s="101"/>
      <c r="F15" s="102"/>
      <c r="G15" s="102"/>
      <c r="H15" s="67"/>
      <c r="I15" s="68"/>
      <c r="J15" s="68"/>
      <c r="K15" s="68"/>
    </row>
    <row r="16" spans="1:11" ht="15" customHeight="1" x14ac:dyDescent="0.3">
      <c r="A16" s="69"/>
      <c r="B16" s="99"/>
      <c r="C16" s="100"/>
      <c r="D16" s="107"/>
      <c r="E16" s="101"/>
      <c r="F16" s="102"/>
      <c r="G16" s="102"/>
      <c r="H16" s="67"/>
      <c r="I16" s="68"/>
      <c r="J16" s="68"/>
      <c r="K16" s="68"/>
    </row>
    <row r="17" spans="1:11" ht="15" customHeight="1" x14ac:dyDescent="0.3">
      <c r="A17" s="69"/>
      <c r="B17" s="99"/>
      <c r="C17" s="100"/>
      <c r="D17" s="107"/>
      <c r="E17" s="101"/>
      <c r="F17" s="102"/>
      <c r="G17" s="102"/>
      <c r="H17" s="67"/>
      <c r="I17" s="68"/>
      <c r="J17" s="68"/>
      <c r="K17" s="68"/>
    </row>
    <row r="18" spans="1:11" ht="15" customHeight="1" x14ac:dyDescent="0.3">
      <c r="A18" s="69"/>
      <c r="B18" s="99"/>
      <c r="C18" s="100"/>
      <c r="D18" s="108"/>
      <c r="E18" s="101"/>
      <c r="F18" s="102"/>
      <c r="G18" s="102"/>
      <c r="H18" s="67"/>
      <c r="I18" s="68"/>
      <c r="J18" s="68"/>
      <c r="K18" s="68"/>
    </row>
    <row r="19" spans="1:11" ht="15" customHeight="1" x14ac:dyDescent="0.3">
      <c r="A19" s="69"/>
      <c r="B19" s="77"/>
      <c r="C19" s="78"/>
      <c r="D19" s="82"/>
      <c r="E19" s="101"/>
      <c r="F19" s="103"/>
      <c r="G19" s="104"/>
      <c r="H19" s="104"/>
      <c r="I19" s="104"/>
      <c r="J19" s="104"/>
      <c r="K19" s="105"/>
    </row>
    <row r="20" spans="1:11" ht="13.2" customHeight="1" x14ac:dyDescent="0.3">
      <c r="B20" s="70"/>
      <c r="C20" s="79"/>
      <c r="D20" s="83"/>
      <c r="E20" s="71"/>
      <c r="F20" s="71"/>
      <c r="G20" s="71"/>
      <c r="H20" s="72"/>
      <c r="I20" s="70"/>
      <c r="J20" s="70"/>
      <c r="K20" s="70"/>
    </row>
    <row r="21" spans="1:11" ht="30.75" customHeight="1" x14ac:dyDescent="0.3">
      <c r="B21" s="99" t="s">
        <v>41</v>
      </c>
      <c r="C21" s="100"/>
      <c r="D21" s="106"/>
      <c r="E21" s="112"/>
      <c r="F21" s="102"/>
      <c r="G21" s="102"/>
      <c r="H21" s="67"/>
      <c r="I21" s="68"/>
      <c r="J21" s="68"/>
      <c r="K21" s="68"/>
    </row>
    <row r="22" spans="1:11" ht="31.2" customHeight="1" x14ac:dyDescent="0.3">
      <c r="B22" s="99"/>
      <c r="C22" s="100"/>
      <c r="D22" s="107"/>
      <c r="E22" s="112"/>
      <c r="F22" s="102"/>
      <c r="G22" s="102"/>
      <c r="H22" s="67"/>
      <c r="I22" s="68"/>
      <c r="J22" s="68"/>
      <c r="K22" s="68"/>
    </row>
    <row r="23" spans="1:11" ht="31.2" customHeight="1" x14ac:dyDescent="0.3">
      <c r="B23" s="99"/>
      <c r="C23" s="100"/>
      <c r="D23" s="107"/>
      <c r="E23" s="112"/>
      <c r="F23" s="102"/>
      <c r="G23" s="102"/>
      <c r="H23" s="67"/>
      <c r="I23" s="68"/>
      <c r="J23" s="68"/>
      <c r="K23" s="68"/>
    </row>
    <row r="24" spans="1:11" ht="15" customHeight="1" x14ac:dyDescent="0.3">
      <c r="B24" s="99"/>
      <c r="C24" s="100"/>
      <c r="D24" s="108"/>
      <c r="E24" s="112"/>
      <c r="F24" s="102"/>
      <c r="G24" s="102"/>
      <c r="H24" s="67"/>
      <c r="I24" s="68"/>
      <c r="J24" s="68"/>
      <c r="K24" s="68"/>
    </row>
    <row r="25" spans="1:11" ht="30" customHeight="1" x14ac:dyDescent="0.3">
      <c r="B25" s="99" t="s">
        <v>42</v>
      </c>
      <c r="C25" s="100"/>
      <c r="D25" s="106"/>
      <c r="E25" s="112"/>
      <c r="F25" s="102"/>
      <c r="G25" s="102"/>
      <c r="H25" s="67"/>
      <c r="I25" s="68"/>
      <c r="J25" s="68"/>
      <c r="K25" s="68"/>
    </row>
    <row r="26" spans="1:11" ht="45" customHeight="1" x14ac:dyDescent="0.3">
      <c r="A26" s="69"/>
      <c r="B26" s="99"/>
      <c r="C26" s="100"/>
      <c r="D26" s="107"/>
      <c r="E26" s="112"/>
      <c r="F26" s="102"/>
      <c r="G26" s="102"/>
      <c r="H26" s="67"/>
      <c r="I26" s="68"/>
      <c r="J26" s="68"/>
      <c r="K26" s="68"/>
    </row>
    <row r="27" spans="1:11" ht="31.2" customHeight="1" x14ac:dyDescent="0.3">
      <c r="A27" s="69"/>
      <c r="B27" s="99"/>
      <c r="C27" s="100"/>
      <c r="D27" s="107"/>
      <c r="E27" s="112"/>
      <c r="F27" s="102"/>
      <c r="G27" s="102"/>
      <c r="H27" s="67"/>
      <c r="I27" s="68"/>
      <c r="J27" s="68"/>
      <c r="K27" s="68"/>
    </row>
    <row r="28" spans="1:11" ht="15" customHeight="1" x14ac:dyDescent="0.3">
      <c r="A28" s="69"/>
      <c r="B28" s="99"/>
      <c r="C28" s="100"/>
      <c r="D28" s="108"/>
      <c r="E28" s="112"/>
      <c r="F28" s="102"/>
      <c r="G28" s="102"/>
      <c r="H28" s="67"/>
      <c r="I28" s="68"/>
      <c r="J28" s="68"/>
      <c r="K28" s="68"/>
    </row>
    <row r="29" spans="1:11" ht="16.5" customHeight="1" x14ac:dyDescent="0.3">
      <c r="A29" s="69"/>
      <c r="B29" s="113" t="s">
        <v>43</v>
      </c>
      <c r="C29" s="114"/>
      <c r="D29" s="109"/>
      <c r="E29" s="112"/>
      <c r="F29" s="102"/>
      <c r="G29" s="102"/>
      <c r="H29" s="67"/>
      <c r="I29" s="68"/>
      <c r="J29" s="68"/>
      <c r="K29" s="68"/>
    </row>
    <row r="30" spans="1:11" ht="15" customHeight="1" x14ac:dyDescent="0.3">
      <c r="A30" s="69"/>
      <c r="B30" s="113"/>
      <c r="C30" s="114"/>
      <c r="D30" s="110"/>
      <c r="E30" s="112"/>
      <c r="F30" s="102"/>
      <c r="G30" s="102"/>
      <c r="H30" s="67"/>
      <c r="I30" s="68"/>
      <c r="J30" s="68"/>
      <c r="K30" s="68"/>
    </row>
    <row r="31" spans="1:11" ht="15" customHeight="1" x14ac:dyDescent="0.3">
      <c r="A31" s="69"/>
      <c r="B31" s="113"/>
      <c r="C31" s="114"/>
      <c r="D31" s="110"/>
      <c r="E31" s="112"/>
      <c r="F31" s="102"/>
      <c r="G31" s="102"/>
      <c r="H31" s="67"/>
      <c r="I31" s="68"/>
      <c r="J31" s="68"/>
      <c r="K31" s="68"/>
    </row>
    <row r="32" spans="1:11" ht="30.75" customHeight="1" x14ac:dyDescent="0.3">
      <c r="A32" s="69"/>
      <c r="B32" s="113"/>
      <c r="C32" s="114"/>
      <c r="D32" s="111"/>
      <c r="E32" s="112"/>
      <c r="F32" s="102"/>
      <c r="G32" s="102"/>
      <c r="H32" s="67"/>
      <c r="I32" s="68"/>
      <c r="J32" s="68"/>
      <c r="K32" s="68"/>
    </row>
    <row r="33" spans="1:11" ht="0.75" customHeight="1" x14ac:dyDescent="0.3">
      <c r="A33" s="69"/>
      <c r="B33" s="75"/>
      <c r="C33" s="76"/>
      <c r="D33" s="81"/>
      <c r="E33" s="112"/>
      <c r="F33" s="95"/>
      <c r="G33" s="95"/>
      <c r="H33" s="67"/>
      <c r="I33" s="68"/>
      <c r="J33" s="68"/>
      <c r="K33" s="68"/>
    </row>
    <row r="34" spans="1:11" ht="15.75" customHeight="1" x14ac:dyDescent="0.3">
      <c r="A34" s="69"/>
      <c r="B34" s="71"/>
      <c r="C34" s="71"/>
      <c r="D34" s="73"/>
      <c r="E34" s="73"/>
      <c r="F34" s="71"/>
      <c r="G34" s="71"/>
      <c r="H34" s="72"/>
      <c r="I34" s="70"/>
      <c r="J34" s="70"/>
      <c r="K34" s="70"/>
    </row>
    <row r="35" spans="1:11" ht="30.75" customHeight="1" x14ac:dyDescent="0.3">
      <c r="A35" s="69"/>
      <c r="B35"/>
      <c r="C35"/>
      <c r="D35"/>
      <c r="E35"/>
      <c r="F35"/>
      <c r="G35"/>
      <c r="H35"/>
      <c r="I35"/>
      <c r="J35"/>
      <c r="K35"/>
    </row>
    <row r="36" spans="1:11" x14ac:dyDescent="0.3">
      <c r="A36" s="69"/>
      <c r="B36"/>
      <c r="C36"/>
      <c r="D36"/>
      <c r="E36"/>
      <c r="F36"/>
      <c r="G36"/>
      <c r="H36"/>
      <c r="I36"/>
      <c r="J36"/>
      <c r="K36"/>
    </row>
    <row r="37" spans="1:11" ht="18" customHeight="1" x14ac:dyDescent="0.3">
      <c r="A37" s="69"/>
      <c r="B37"/>
      <c r="C37"/>
      <c r="D37"/>
      <c r="E37"/>
      <c r="F37"/>
      <c r="G37"/>
      <c r="H37"/>
      <c r="I37"/>
      <c r="J37"/>
      <c r="K37"/>
    </row>
    <row r="38" spans="1:11" ht="31.5" customHeight="1" x14ac:dyDescent="0.4">
      <c r="A38" s="69"/>
      <c r="B38"/>
      <c r="C38" s="80" t="s">
        <v>44</v>
      </c>
      <c r="D38" s="80"/>
      <c r="E38"/>
      <c r="F38"/>
      <c r="G38"/>
      <c r="H38"/>
      <c r="I38"/>
      <c r="J38"/>
      <c r="K38"/>
    </row>
    <row r="39" spans="1:11" ht="30.75" customHeight="1" x14ac:dyDescent="0.3">
      <c r="A39" s="69"/>
      <c r="B39"/>
      <c r="C39"/>
      <c r="D39"/>
      <c r="E39"/>
      <c r="F39"/>
      <c r="G39"/>
      <c r="H39"/>
      <c r="I39"/>
      <c r="J39"/>
      <c r="K39"/>
    </row>
    <row r="40" spans="1:11" x14ac:dyDescent="0.3">
      <c r="A40" s="69"/>
      <c r="B40"/>
      <c r="C40"/>
      <c r="D40"/>
      <c r="E40"/>
      <c r="F40"/>
      <c r="G40"/>
      <c r="H40"/>
      <c r="I40"/>
      <c r="J40"/>
      <c r="K40"/>
    </row>
    <row r="41" spans="1:11" ht="33.75" customHeight="1" x14ac:dyDescent="0.3">
      <c r="A41" s="69"/>
      <c r="B41"/>
      <c r="C41"/>
      <c r="D41"/>
      <c r="E41"/>
      <c r="F41"/>
      <c r="G41"/>
      <c r="H41"/>
      <c r="I41"/>
      <c r="J41"/>
      <c r="K41"/>
    </row>
    <row r="42" spans="1:11" ht="45" customHeight="1" x14ac:dyDescent="0.3">
      <c r="A42" s="69"/>
      <c r="B42"/>
      <c r="C42"/>
      <c r="D42"/>
      <c r="E42"/>
      <c r="F42"/>
      <c r="G42"/>
      <c r="H42"/>
      <c r="I42"/>
      <c r="J42"/>
      <c r="K42"/>
    </row>
    <row r="43" spans="1:11" x14ac:dyDescent="0.3">
      <c r="A43" s="69"/>
      <c r="B43"/>
      <c r="C43"/>
      <c r="D43"/>
      <c r="E43"/>
      <c r="F43"/>
      <c r="G43"/>
      <c r="H43"/>
      <c r="I43"/>
      <c r="J43"/>
      <c r="K43"/>
    </row>
    <row r="44" spans="1:11" x14ac:dyDescent="0.3">
      <c r="A44" s="69"/>
      <c r="B44"/>
      <c r="C44"/>
      <c r="D44"/>
      <c r="E44"/>
      <c r="F44"/>
      <c r="G44"/>
      <c r="H44"/>
      <c r="I44"/>
      <c r="J44"/>
      <c r="K44"/>
    </row>
    <row r="45" spans="1:11" ht="31.5" customHeight="1" x14ac:dyDescent="0.3">
      <c r="A45" s="69"/>
      <c r="B45"/>
      <c r="C45"/>
      <c r="D45"/>
      <c r="E45"/>
      <c r="F45"/>
      <c r="G45"/>
      <c r="H45"/>
      <c r="I45"/>
      <c r="J45"/>
      <c r="K45"/>
    </row>
    <row r="46" spans="1:11" x14ac:dyDescent="0.3">
      <c r="A46" s="69"/>
      <c r="B46"/>
      <c r="C46"/>
      <c r="D46"/>
      <c r="E46"/>
      <c r="F46"/>
      <c r="G46"/>
      <c r="H46"/>
      <c r="I46"/>
      <c r="J46"/>
      <c r="K46"/>
    </row>
    <row r="47" spans="1:11" ht="44.25" customHeight="1" x14ac:dyDescent="0.3">
      <c r="A47" s="69"/>
      <c r="B47"/>
      <c r="C47"/>
      <c r="D47"/>
      <c r="E47"/>
      <c r="F47"/>
      <c r="G47"/>
      <c r="H47"/>
      <c r="I47"/>
      <c r="J47"/>
      <c r="K47"/>
    </row>
    <row r="48" spans="1:11" x14ac:dyDescent="0.3">
      <c r="A48" s="69"/>
      <c r="B48"/>
      <c r="C48"/>
      <c r="D48"/>
      <c r="E48"/>
      <c r="F48"/>
      <c r="G48"/>
      <c r="H48"/>
      <c r="I48"/>
      <c r="J48"/>
      <c r="K48"/>
    </row>
    <row r="49" spans="1:11" x14ac:dyDescent="0.3">
      <c r="B49"/>
      <c r="C49"/>
      <c r="D49"/>
      <c r="E49"/>
      <c r="F49"/>
      <c r="G49"/>
      <c r="H49"/>
      <c r="I49"/>
      <c r="J49"/>
      <c r="K49"/>
    </row>
    <row r="50" spans="1:11" x14ac:dyDescent="0.3">
      <c r="B50"/>
      <c r="C50"/>
      <c r="D50"/>
      <c r="E50"/>
      <c r="F50"/>
      <c r="G50"/>
      <c r="H50"/>
      <c r="I50"/>
      <c r="J50"/>
      <c r="K50"/>
    </row>
    <row r="51" spans="1:11" ht="30" customHeight="1" x14ac:dyDescent="0.3">
      <c r="B51"/>
      <c r="C51"/>
      <c r="D51"/>
      <c r="E51"/>
      <c r="F51"/>
      <c r="G51"/>
      <c r="H51"/>
      <c r="I51"/>
      <c r="J51"/>
      <c r="K51"/>
    </row>
    <row r="52" spans="1:11" x14ac:dyDescent="0.3">
      <c r="B52"/>
      <c r="C52"/>
      <c r="D52"/>
      <c r="E52"/>
      <c r="F52"/>
      <c r="G52"/>
      <c r="H52"/>
      <c r="I52"/>
      <c r="J52"/>
      <c r="K52"/>
    </row>
    <row r="53" spans="1:11" ht="30.75" customHeight="1" x14ac:dyDescent="0.3">
      <c r="B53"/>
      <c r="C53"/>
      <c r="D53"/>
      <c r="E53"/>
      <c r="F53"/>
      <c r="G53"/>
      <c r="H53"/>
      <c r="I53"/>
      <c r="J53"/>
      <c r="K53"/>
    </row>
    <row r="54" spans="1:11" x14ac:dyDescent="0.3">
      <c r="B54"/>
      <c r="C54"/>
      <c r="D54"/>
      <c r="E54"/>
      <c r="F54"/>
      <c r="G54"/>
      <c r="H54"/>
      <c r="I54"/>
      <c r="J54"/>
      <c r="K54"/>
    </row>
    <row r="55" spans="1:11" x14ac:dyDescent="0.3">
      <c r="B55"/>
      <c r="C55"/>
      <c r="D55"/>
      <c r="E55"/>
      <c r="F55"/>
      <c r="G55"/>
      <c r="H55"/>
      <c r="I55"/>
      <c r="J55"/>
      <c r="K55"/>
    </row>
    <row r="56" spans="1:11" ht="30.75" customHeight="1" x14ac:dyDescent="0.3">
      <c r="B56"/>
      <c r="C56"/>
      <c r="D56"/>
      <c r="E56"/>
      <c r="F56"/>
      <c r="G56"/>
      <c r="H56"/>
      <c r="I56"/>
      <c r="J56"/>
      <c r="K56"/>
    </row>
    <row r="57" spans="1:11" ht="30" customHeight="1" x14ac:dyDescent="0.3">
      <c r="B57"/>
      <c r="C57"/>
      <c r="D57"/>
      <c r="E57"/>
      <c r="F57"/>
      <c r="G57"/>
      <c r="H57"/>
      <c r="I57"/>
      <c r="J57"/>
      <c r="K57"/>
    </row>
    <row r="58" spans="1:11" x14ac:dyDescent="0.3">
      <c r="B58"/>
      <c r="C58"/>
      <c r="D58"/>
      <c r="E58"/>
      <c r="F58"/>
      <c r="G58"/>
      <c r="H58"/>
      <c r="I58"/>
      <c r="J58"/>
      <c r="K58"/>
    </row>
    <row r="59" spans="1:11" x14ac:dyDescent="0.3">
      <c r="A59" s="69"/>
      <c r="B59"/>
      <c r="C59"/>
      <c r="D59"/>
      <c r="E59"/>
      <c r="F59"/>
      <c r="G59"/>
      <c r="H59"/>
      <c r="I59"/>
      <c r="J59"/>
      <c r="K59"/>
    </row>
    <row r="60" spans="1:11" ht="45.75" customHeight="1" x14ac:dyDescent="0.3">
      <c r="A60" s="69"/>
      <c r="B60"/>
      <c r="C60"/>
      <c r="D60"/>
      <c r="E60"/>
      <c r="F60"/>
      <c r="G60"/>
      <c r="H60"/>
      <c r="I60"/>
      <c r="J60"/>
      <c r="K60"/>
    </row>
    <row r="61" spans="1:11" x14ac:dyDescent="0.3">
      <c r="A61" s="69"/>
      <c r="B61"/>
      <c r="C61"/>
      <c r="D61"/>
      <c r="E61"/>
      <c r="F61"/>
      <c r="G61"/>
      <c r="H61"/>
      <c r="I61"/>
      <c r="J61"/>
      <c r="K61"/>
    </row>
    <row r="62" spans="1:11" ht="30.75" customHeight="1" x14ac:dyDescent="0.3">
      <c r="A62" s="69"/>
      <c r="B62"/>
      <c r="C62"/>
      <c r="D62"/>
      <c r="E62"/>
      <c r="F62"/>
      <c r="G62"/>
      <c r="H62"/>
      <c r="I62"/>
      <c r="J62"/>
      <c r="K62"/>
    </row>
    <row r="63" spans="1:11" x14ac:dyDescent="0.3">
      <c r="A63" s="69"/>
      <c r="B63"/>
      <c r="C63"/>
      <c r="D63"/>
      <c r="E63"/>
      <c r="F63"/>
      <c r="G63"/>
      <c r="H63"/>
      <c r="I63"/>
      <c r="J63"/>
      <c r="K63"/>
    </row>
    <row r="64" spans="1:11" x14ac:dyDescent="0.3">
      <c r="A64" s="69"/>
      <c r="B64"/>
      <c r="C64"/>
      <c r="D64"/>
      <c r="E64"/>
      <c r="F64"/>
      <c r="G64"/>
      <c r="H64"/>
      <c r="I64"/>
      <c r="J64"/>
      <c r="K64"/>
    </row>
    <row r="65" spans="1:11" ht="30.75" customHeight="1" x14ac:dyDescent="0.3">
      <c r="A65" s="69"/>
      <c r="B65"/>
      <c r="C65"/>
      <c r="D65"/>
      <c r="E65"/>
      <c r="F65"/>
      <c r="G65"/>
      <c r="H65"/>
      <c r="I65"/>
      <c r="J65"/>
      <c r="K65"/>
    </row>
    <row r="66" spans="1:11" ht="30" customHeight="1" x14ac:dyDescent="0.3">
      <c r="A66" s="69"/>
      <c r="B66"/>
      <c r="C66"/>
      <c r="D66"/>
      <c r="E66"/>
      <c r="F66"/>
      <c r="G66"/>
      <c r="H66"/>
      <c r="I66"/>
      <c r="J66"/>
      <c r="K66"/>
    </row>
    <row r="67" spans="1:11" ht="15" customHeight="1" x14ac:dyDescent="0.3">
      <c r="A67" s="69"/>
      <c r="B67"/>
      <c r="C67"/>
      <c r="D67"/>
      <c r="E67"/>
      <c r="F67"/>
      <c r="G67"/>
      <c r="H67"/>
      <c r="I67"/>
      <c r="J67"/>
      <c r="K67"/>
    </row>
    <row r="68" spans="1:11" x14ac:dyDescent="0.3">
      <c r="A68" s="69"/>
      <c r="B68"/>
      <c r="C68"/>
      <c r="D68"/>
      <c r="E68"/>
      <c r="F68"/>
      <c r="G68"/>
      <c r="H68"/>
      <c r="I68"/>
      <c r="J68"/>
      <c r="K68"/>
    </row>
    <row r="69" spans="1:11" ht="30.75" customHeight="1" x14ac:dyDescent="0.3">
      <c r="A69" s="69"/>
      <c r="B69"/>
      <c r="C69"/>
      <c r="D69"/>
      <c r="E69"/>
      <c r="F69"/>
      <c r="G69"/>
      <c r="H69"/>
      <c r="I69"/>
      <c r="J69"/>
      <c r="K69"/>
    </row>
    <row r="70" spans="1:11" ht="32.25" customHeight="1" x14ac:dyDescent="0.3">
      <c r="A70" s="69"/>
      <c r="B70"/>
      <c r="C70"/>
      <c r="D70"/>
      <c r="E70"/>
      <c r="F70"/>
      <c r="G70"/>
      <c r="H70"/>
      <c r="I70"/>
      <c r="J70"/>
      <c r="K70"/>
    </row>
    <row r="71" spans="1:11" ht="44.25" customHeight="1" x14ac:dyDescent="0.3">
      <c r="A71" s="69"/>
      <c r="B71"/>
      <c r="C71"/>
      <c r="D71"/>
      <c r="E71"/>
      <c r="F71"/>
      <c r="G71"/>
      <c r="H71"/>
      <c r="I71"/>
      <c r="J71"/>
      <c r="K71"/>
    </row>
    <row r="72" spans="1:11" ht="31.5" customHeight="1" x14ac:dyDescent="0.3">
      <c r="A72" s="69"/>
      <c r="B72"/>
      <c r="C72"/>
      <c r="D72"/>
      <c r="E72"/>
      <c r="F72"/>
      <c r="G72"/>
      <c r="H72"/>
      <c r="I72"/>
      <c r="J72"/>
      <c r="K72"/>
    </row>
    <row r="73" spans="1:11" x14ac:dyDescent="0.3">
      <c r="A73" s="69"/>
      <c r="B73" s="74"/>
      <c r="C73" s="70"/>
      <c r="D73" s="74"/>
      <c r="E73" s="74"/>
      <c r="F73" s="70"/>
      <c r="G73" s="70"/>
      <c r="H73" s="72"/>
      <c r="I73" s="70"/>
      <c r="J73" s="70"/>
      <c r="K73" s="70"/>
    </row>
    <row r="74" spans="1:11" ht="30" customHeight="1" x14ac:dyDescent="0.3">
      <c r="A74" s="69"/>
      <c r="B74"/>
      <c r="C74"/>
      <c r="D74"/>
      <c r="E74"/>
      <c r="F74"/>
      <c r="G74"/>
      <c r="H74"/>
      <c r="I74"/>
      <c r="J74"/>
      <c r="K74"/>
    </row>
    <row r="75" spans="1:11" x14ac:dyDescent="0.3">
      <c r="A75" s="69"/>
      <c r="B75"/>
      <c r="C75"/>
      <c r="D75"/>
      <c r="E75"/>
      <c r="F75"/>
      <c r="G75"/>
      <c r="H75"/>
      <c r="I75"/>
      <c r="J75"/>
      <c r="K75"/>
    </row>
    <row r="76" spans="1:11" ht="30.75" customHeight="1" x14ac:dyDescent="0.3">
      <c r="A76" s="69"/>
      <c r="B76"/>
      <c r="C76"/>
      <c r="D76"/>
      <c r="E76"/>
      <c r="F76"/>
      <c r="G76"/>
      <c r="H76"/>
      <c r="I76"/>
      <c r="J76"/>
      <c r="K76"/>
    </row>
    <row r="77" spans="1:11" x14ac:dyDescent="0.3">
      <c r="A77" s="69"/>
      <c r="B77"/>
      <c r="C77"/>
      <c r="D77"/>
      <c r="E77"/>
      <c r="F77"/>
      <c r="G77"/>
      <c r="H77"/>
      <c r="I77"/>
      <c r="J77"/>
      <c r="K77"/>
    </row>
    <row r="78" spans="1:11" ht="30.75" customHeight="1" x14ac:dyDescent="0.3">
      <c r="A78" s="69"/>
      <c r="B78"/>
      <c r="C78"/>
      <c r="D78"/>
      <c r="E78"/>
      <c r="F78"/>
      <c r="G78"/>
      <c r="H78"/>
      <c r="I78"/>
      <c r="J78"/>
      <c r="K78"/>
    </row>
    <row r="79" spans="1:11" x14ac:dyDescent="0.3">
      <c r="A79" s="69"/>
      <c r="B79"/>
      <c r="C79"/>
      <c r="D79"/>
      <c r="E79"/>
      <c r="F79"/>
      <c r="G79"/>
      <c r="H79"/>
      <c r="I79"/>
      <c r="J79"/>
      <c r="K79"/>
    </row>
    <row r="80" spans="1:11" x14ac:dyDescent="0.3">
      <c r="A80" s="69"/>
      <c r="B80"/>
      <c r="C80"/>
      <c r="D80"/>
      <c r="E80"/>
      <c r="F80"/>
      <c r="G80"/>
      <c r="H80"/>
      <c r="I80"/>
      <c r="J80"/>
      <c r="K80"/>
    </row>
    <row r="81" spans="1:11" x14ac:dyDescent="0.3">
      <c r="A81" s="69"/>
      <c r="B81"/>
      <c r="C81"/>
      <c r="D81"/>
      <c r="E81"/>
      <c r="F81"/>
      <c r="G81"/>
      <c r="H81"/>
      <c r="I81"/>
      <c r="J81"/>
      <c r="K81"/>
    </row>
    <row r="82" spans="1:11" ht="32.25" customHeight="1" x14ac:dyDescent="0.3">
      <c r="A82" s="69"/>
      <c r="B82"/>
      <c r="C82"/>
      <c r="D82"/>
      <c r="E82"/>
      <c r="F82"/>
      <c r="G82"/>
      <c r="H82"/>
      <c r="I82"/>
      <c r="J82"/>
      <c r="K82"/>
    </row>
    <row r="83" spans="1:11" x14ac:dyDescent="0.3">
      <c r="A83" s="69"/>
      <c r="B83"/>
      <c r="C83"/>
      <c r="D83"/>
      <c r="E83"/>
      <c r="F83"/>
      <c r="G83"/>
      <c r="H83"/>
      <c r="I83"/>
      <c r="J83"/>
      <c r="K83"/>
    </row>
    <row r="84" spans="1:11" x14ac:dyDescent="0.3">
      <c r="A84" s="69"/>
      <c r="B84"/>
      <c r="C84"/>
      <c r="D84"/>
      <c r="E84"/>
      <c r="F84"/>
      <c r="G84"/>
      <c r="H84"/>
      <c r="I84"/>
      <c r="J84"/>
      <c r="K84"/>
    </row>
    <row r="85" spans="1:11" x14ac:dyDescent="0.3">
      <c r="A85" s="69"/>
      <c r="B85"/>
      <c r="C85"/>
      <c r="D85"/>
      <c r="E85"/>
      <c r="F85"/>
      <c r="G85"/>
      <c r="H85"/>
      <c r="I85"/>
      <c r="J85"/>
      <c r="K85"/>
    </row>
  </sheetData>
  <mergeCells count="34">
    <mergeCell ref="G21:G24"/>
    <mergeCell ref="B15:B18"/>
    <mergeCell ref="C15:C18"/>
    <mergeCell ref="F25:F28"/>
    <mergeCell ref="G25:G28"/>
    <mergeCell ref="G15:G18"/>
    <mergeCell ref="B21:B24"/>
    <mergeCell ref="C21:C24"/>
    <mergeCell ref="F15:F18"/>
    <mergeCell ref="E21:E33"/>
    <mergeCell ref="F21:F24"/>
    <mergeCell ref="B29:B32"/>
    <mergeCell ref="C29:C32"/>
    <mergeCell ref="F29:F32"/>
    <mergeCell ref="G29:G32"/>
    <mergeCell ref="D25:D28"/>
    <mergeCell ref="D29:D32"/>
    <mergeCell ref="D11:D14"/>
    <mergeCell ref="D15:D18"/>
    <mergeCell ref="B25:B28"/>
    <mergeCell ref="C25:C28"/>
    <mergeCell ref="D21:D24"/>
    <mergeCell ref="E4:H4"/>
    <mergeCell ref="B6:B10"/>
    <mergeCell ref="C6:C10"/>
    <mergeCell ref="E6:E19"/>
    <mergeCell ref="F6:F10"/>
    <mergeCell ref="G6:G10"/>
    <mergeCell ref="B11:B14"/>
    <mergeCell ref="C11:C14"/>
    <mergeCell ref="F11:F14"/>
    <mergeCell ref="G11:G14"/>
    <mergeCell ref="F19:K19"/>
    <mergeCell ref="D6:D10"/>
  </mergeCells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6"/>
  <sheetViews>
    <sheetView tabSelected="1" workbookViewId="0">
      <pane ySplit="14" topLeftCell="A18" activePane="bottomLeft" state="frozen"/>
      <selection pane="bottomLeft" activeCell="P23" sqref="P23"/>
    </sheetView>
  </sheetViews>
  <sheetFormatPr baseColWidth="10" defaultColWidth="8.6640625" defaultRowHeight="13.2" x14ac:dyDescent="0.25"/>
  <cols>
    <col min="1" max="1" width="39.109375" customWidth="1"/>
    <col min="2" max="2" width="8.44140625" style="2" customWidth="1"/>
    <col min="3" max="3" width="15.33203125" customWidth="1"/>
    <col min="4" max="4" width="10.6640625" customWidth="1"/>
    <col min="5" max="5" width="6.44140625" style="2" customWidth="1"/>
    <col min="6" max="30" width="4.44140625" style="2" customWidth="1"/>
  </cols>
  <sheetData>
    <row r="1" spans="1:30" ht="17.399999999999999" x14ac:dyDescent="0.3">
      <c r="A1" s="93">
        <v>1</v>
      </c>
      <c r="B1" s="9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A2" s="60" t="s">
        <v>93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x14ac:dyDescent="0.25">
      <c r="A3" t="s">
        <v>94</v>
      </c>
    </row>
    <row r="4" spans="1:30" x14ac:dyDescent="0.25">
      <c r="A4" t="s">
        <v>95</v>
      </c>
    </row>
    <row r="5" spans="1:30" x14ac:dyDescent="0.25">
      <c r="A5" t="s">
        <v>96</v>
      </c>
    </row>
    <row r="9" spans="1:30" x14ac:dyDescent="0.25">
      <c r="A9" s="18" t="s">
        <v>45</v>
      </c>
      <c r="B9" s="35">
        <v>25</v>
      </c>
      <c r="C9" s="18"/>
      <c r="D9" s="16"/>
      <c r="E9" s="20" t="s">
        <v>46</v>
      </c>
      <c r="F9" s="20" t="s">
        <v>47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18" t="s">
        <v>48</v>
      </c>
      <c r="B10" s="35">
        <v>5</v>
      </c>
      <c r="C10" s="18" t="s">
        <v>3</v>
      </c>
      <c r="D10" s="18" t="s">
        <v>49</v>
      </c>
      <c r="E10" s="17">
        <f ca="1">SUM(OFFSET(E14,1,0,TaskRows,1))</f>
        <v>128</v>
      </c>
      <c r="F10" s="17">
        <f ca="1">IF(AND(SUM(OFFSET(F14,1,0,TaskRows,1))=0),0,SUM(OFFSET(F14,1,0,TaskRows,1)))</f>
        <v>126</v>
      </c>
      <c r="G10" s="17">
        <f t="shared" ref="G10:AD10" ca="1" si="0">IF(AND(SUM(OFFSET(G14,1,0,TaskRows,1))=0),"",SUM(OFFSET(G14,1,0,TaskRows,1)))</f>
        <v>119</v>
      </c>
      <c r="H10" s="17">
        <f t="shared" ca="1" si="0"/>
        <v>116.5</v>
      </c>
      <c r="I10" s="17">
        <f t="shared" ca="1" si="0"/>
        <v>114</v>
      </c>
      <c r="J10" s="17">
        <f t="shared" ca="1" si="0"/>
        <v>112</v>
      </c>
      <c r="K10" s="17">
        <f t="shared" ca="1" si="0"/>
        <v>111</v>
      </c>
      <c r="L10" s="17">
        <f t="shared" ca="1" si="0"/>
        <v>111</v>
      </c>
      <c r="M10" s="17">
        <f t="shared" ca="1" si="0"/>
        <v>70</v>
      </c>
      <c r="N10" s="17">
        <f t="shared" ca="1" si="0"/>
        <v>69</v>
      </c>
      <c r="O10" s="17">
        <f t="shared" ca="1" si="0"/>
        <v>67</v>
      </c>
      <c r="P10" s="17">
        <f t="shared" ca="1" si="0"/>
        <v>65</v>
      </c>
      <c r="Q10" s="17">
        <f t="shared" ca="1" si="0"/>
        <v>63</v>
      </c>
      <c r="R10" s="17">
        <f t="shared" ca="1" si="0"/>
        <v>62</v>
      </c>
      <c r="S10" s="17">
        <f t="shared" ca="1" si="0"/>
        <v>62</v>
      </c>
      <c r="T10" s="17">
        <f t="shared" ca="1" si="0"/>
        <v>16</v>
      </c>
      <c r="U10" s="17">
        <f t="shared" ca="1" si="0"/>
        <v>16</v>
      </c>
      <c r="V10" s="17">
        <f t="shared" ca="1" si="0"/>
        <v>15</v>
      </c>
      <c r="W10" s="17">
        <f t="shared" ca="1" si="0"/>
        <v>12</v>
      </c>
      <c r="X10" s="17">
        <f t="shared" ca="1" si="0"/>
        <v>12</v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50</v>
      </c>
      <c r="B11" s="2">
        <f>IF(COUNTA(A15:A244)=0,1,COUNTA(A15:A244))</f>
        <v>16</v>
      </c>
      <c r="C11" t="s">
        <v>51</v>
      </c>
      <c r="D11" s="2">
        <f ca="1">IF(COUNTIF(F10:AD10,"&gt;0")=0,1,COUNTIF(F10:AD10,"&gt;0"))</f>
        <v>19</v>
      </c>
      <c r="F11" s="2">
        <f ca="1">IF(F14="","",$E10-$E10/($B9-1)*(F14-1))</f>
        <v>128</v>
      </c>
      <c r="G11" s="2">
        <f t="shared" ref="G11:AD11" ca="1" si="1">IF(G14="","",TotalEffort-TotalEffort/(ImplementationDays)*(G14-1))</f>
        <v>122.88</v>
      </c>
      <c r="H11" s="2">
        <f t="shared" ca="1" si="1"/>
        <v>117.76</v>
      </c>
      <c r="I11" s="2">
        <f t="shared" ca="1" si="1"/>
        <v>112.64</v>
      </c>
      <c r="J11" s="2">
        <f t="shared" ca="1" si="1"/>
        <v>107.52</v>
      </c>
      <c r="K11" s="2">
        <f t="shared" ca="1" si="1"/>
        <v>102.4</v>
      </c>
      <c r="L11" s="2">
        <f t="shared" ca="1" si="1"/>
        <v>97.28</v>
      </c>
      <c r="M11" s="2">
        <f t="shared" ca="1" si="1"/>
        <v>92.16</v>
      </c>
      <c r="N11" s="2">
        <f t="shared" ca="1" si="1"/>
        <v>87.039999999999992</v>
      </c>
      <c r="O11" s="2">
        <f t="shared" ca="1" si="1"/>
        <v>81.92</v>
      </c>
      <c r="P11" s="2">
        <f t="shared" ca="1" si="1"/>
        <v>76.8</v>
      </c>
      <c r="Q11" s="2">
        <f t="shared" ca="1" si="1"/>
        <v>71.680000000000007</v>
      </c>
      <c r="R11" s="2">
        <f t="shared" ca="1" si="1"/>
        <v>66.56</v>
      </c>
      <c r="S11" s="2">
        <f t="shared" ca="1" si="1"/>
        <v>61.44</v>
      </c>
      <c r="T11" s="2">
        <f t="shared" ca="1" si="1"/>
        <v>56.319999999999993</v>
      </c>
      <c r="U11" s="2">
        <f t="shared" ca="1" si="1"/>
        <v>51.2</v>
      </c>
      <c r="V11" s="2">
        <f t="shared" ca="1" si="1"/>
        <v>46.08</v>
      </c>
      <c r="W11" s="2">
        <f t="shared" ca="1" si="1"/>
        <v>40.959999999999994</v>
      </c>
      <c r="X11" s="2">
        <f t="shared" ca="1" si="1"/>
        <v>35.840000000000003</v>
      </c>
      <c r="Y11" s="2">
        <f t="shared" ca="1" si="1"/>
        <v>30.72</v>
      </c>
      <c r="Z11" s="2">
        <f t="shared" ca="1" si="1"/>
        <v>25.599999999999994</v>
      </c>
      <c r="AA11" s="2">
        <f t="shared" ca="1" si="1"/>
        <v>20.480000000000004</v>
      </c>
      <c r="AB11" s="2">
        <f t="shared" ca="1" si="1"/>
        <v>15.36</v>
      </c>
      <c r="AC11" s="2">
        <f t="shared" ca="1" si="1"/>
        <v>10.239999999999995</v>
      </c>
      <c r="AD11" s="2">
        <f t="shared" ca="1" si="1"/>
        <v>5.1200000000000045</v>
      </c>
    </row>
    <row r="12" spans="1:30" hidden="1" x14ac:dyDescent="0.25">
      <c r="A12" s="53" t="s">
        <v>52</v>
      </c>
      <c r="B12"/>
      <c r="C12" t="s">
        <v>53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33.399999999999991</v>
      </c>
      <c r="G12" s="2">
        <f t="shared" ca="1" si="2"/>
        <v>32.199999999999996</v>
      </c>
      <c r="H12" s="2">
        <f t="shared" ca="1" si="2"/>
        <v>30.999999999999996</v>
      </c>
      <c r="I12" s="2">
        <f t="shared" ca="1" si="2"/>
        <v>29.799999999999997</v>
      </c>
      <c r="J12" s="2">
        <f t="shared" ca="1" si="2"/>
        <v>28.599999999999998</v>
      </c>
      <c r="K12" s="2">
        <f t="shared" ca="1" si="2"/>
        <v>27.4</v>
      </c>
      <c r="L12" s="2">
        <f t="shared" ca="1" si="2"/>
        <v>26.199999999999996</v>
      </c>
      <c r="M12" s="2">
        <f t="shared" ca="1" si="2"/>
        <v>25</v>
      </c>
      <c r="N12" s="2">
        <f t="shared" ca="1" si="2"/>
        <v>23.799999999999997</v>
      </c>
      <c r="O12" s="2">
        <f t="shared" ca="1" si="2"/>
        <v>22.6</v>
      </c>
      <c r="P12" s="2">
        <f t="shared" ca="1" si="2"/>
        <v>21.4</v>
      </c>
      <c r="Q12" s="2">
        <f t="shared" ca="1" si="2"/>
        <v>20.2</v>
      </c>
      <c r="R12" s="2">
        <f t="shared" ca="1" si="2"/>
        <v>19</v>
      </c>
      <c r="S12" s="2">
        <f t="shared" ca="1" si="2"/>
        <v>17.8</v>
      </c>
      <c r="T12" s="2">
        <f t="shared" ca="1" si="2"/>
        <v>16.600000000000001</v>
      </c>
      <c r="U12" s="2">
        <f t="shared" ca="1" si="2"/>
        <v>15.400000000000002</v>
      </c>
      <c r="V12" s="2">
        <f t="shared" ca="1" si="2"/>
        <v>14.200000000000003</v>
      </c>
      <c r="W12" s="2">
        <f t="shared" ca="1" si="2"/>
        <v>13.000000000000004</v>
      </c>
      <c r="X12" s="2">
        <f t="shared" ca="1" si="2"/>
        <v>11.800000000000004</v>
      </c>
      <c r="Y12" s="2">
        <f t="shared" ca="1" si="2"/>
        <v>10.600000000000005</v>
      </c>
      <c r="Z12" s="2">
        <f t="shared" ca="1" si="2"/>
        <v>9.4000000000000057</v>
      </c>
      <c r="AA12" s="2">
        <f t="shared" ca="1" si="2"/>
        <v>8.2000000000000064</v>
      </c>
      <c r="AB12" s="2">
        <f t="shared" ca="1" si="2"/>
        <v>7.0000000000000071</v>
      </c>
      <c r="AC12" s="2">
        <f t="shared" ca="1" si="2"/>
        <v>5.8000000000000043</v>
      </c>
      <c r="AD12" s="2">
        <f t="shared" ca="1" si="2"/>
        <v>4.600000000000005</v>
      </c>
    </row>
    <row r="13" spans="1:30" hidden="1" x14ac:dyDescent="0.25">
      <c r="A13" s="53" t="s">
        <v>54</v>
      </c>
      <c r="B13"/>
      <c r="C13" t="s">
        <v>55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18" t="s">
        <v>56</v>
      </c>
      <c r="B14" s="19" t="s">
        <v>21</v>
      </c>
      <c r="C14" s="18" t="s">
        <v>57</v>
      </c>
      <c r="D14" s="18" t="s">
        <v>6</v>
      </c>
      <c r="E14" s="19" t="s">
        <v>58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>
        <f t="shared" si="3"/>
        <v>11</v>
      </c>
      <c r="Q14" s="19">
        <f t="shared" si="3"/>
        <v>12</v>
      </c>
      <c r="R14" s="19">
        <f t="shared" si="3"/>
        <v>13</v>
      </c>
      <c r="S14" s="19">
        <f t="shared" si="3"/>
        <v>14</v>
      </c>
      <c r="T14" s="19">
        <f t="shared" si="3"/>
        <v>15</v>
      </c>
      <c r="U14" s="19">
        <f t="shared" si="3"/>
        <v>16</v>
      </c>
      <c r="V14" s="19">
        <f t="shared" si="3"/>
        <v>17</v>
      </c>
      <c r="W14" s="19">
        <f t="shared" si="3"/>
        <v>18</v>
      </c>
      <c r="X14" s="19">
        <f t="shared" si="3"/>
        <v>19</v>
      </c>
      <c r="Y14" s="19">
        <f t="shared" si="3"/>
        <v>20</v>
      </c>
      <c r="Z14" s="19">
        <f t="shared" si="3"/>
        <v>21</v>
      </c>
      <c r="AA14" s="19">
        <f t="shared" si="3"/>
        <v>22</v>
      </c>
      <c r="AB14" s="19">
        <f t="shared" si="3"/>
        <v>23</v>
      </c>
      <c r="AC14" s="19">
        <f t="shared" si="3"/>
        <v>24</v>
      </c>
      <c r="AD14" s="19">
        <f t="shared" si="3"/>
        <v>25</v>
      </c>
    </row>
    <row r="15" spans="1:30" ht="14.4" x14ac:dyDescent="0.3">
      <c r="A15" s="60" t="s">
        <v>81</v>
      </c>
      <c r="B15" s="2" t="s">
        <v>97</v>
      </c>
      <c r="C15" s="60" t="s">
        <v>99</v>
      </c>
      <c r="D15" s="60" t="s">
        <v>13</v>
      </c>
      <c r="E15" s="97">
        <v>12</v>
      </c>
      <c r="F15" s="97">
        <v>10</v>
      </c>
      <c r="G15" s="97">
        <v>8</v>
      </c>
      <c r="H15" s="97">
        <v>6.5</v>
      </c>
      <c r="I15" s="97">
        <v>6</v>
      </c>
      <c r="J15" s="97">
        <v>6</v>
      </c>
      <c r="K15" s="97">
        <v>6</v>
      </c>
      <c r="L15" s="97">
        <v>6</v>
      </c>
      <c r="M15" s="97"/>
      <c r="N15" s="97"/>
      <c r="O15" s="97"/>
      <c r="P15" s="97"/>
      <c r="Q15" s="97"/>
      <c r="R15" s="97"/>
      <c r="S15" s="97"/>
    </row>
    <row r="16" spans="1:30" ht="14.4" x14ac:dyDescent="0.3">
      <c r="A16" s="60" t="s">
        <v>82</v>
      </c>
      <c r="B16" s="2" t="s">
        <v>97</v>
      </c>
      <c r="C16" s="60"/>
      <c r="D16" s="60" t="s">
        <v>13</v>
      </c>
      <c r="E16" s="97">
        <v>5</v>
      </c>
      <c r="F16" s="97">
        <v>5</v>
      </c>
      <c r="G16" s="97">
        <v>5</v>
      </c>
      <c r="H16" s="97">
        <v>5</v>
      </c>
      <c r="I16" s="97">
        <v>5</v>
      </c>
      <c r="J16" s="97">
        <v>5</v>
      </c>
      <c r="K16" s="97">
        <v>5</v>
      </c>
      <c r="L16" s="97">
        <v>5</v>
      </c>
      <c r="M16" s="97"/>
      <c r="N16" s="97"/>
      <c r="O16" s="97"/>
      <c r="P16" s="97"/>
      <c r="Q16" s="97"/>
      <c r="R16" s="97"/>
      <c r="S16" s="97"/>
    </row>
    <row r="17" spans="1:24" ht="14.4" x14ac:dyDescent="0.3">
      <c r="A17" s="60" t="s">
        <v>83</v>
      </c>
      <c r="B17" s="2" t="s">
        <v>97</v>
      </c>
      <c r="C17" s="60" t="s">
        <v>101</v>
      </c>
      <c r="D17" s="60" t="s">
        <v>13</v>
      </c>
      <c r="E17" s="97">
        <v>18</v>
      </c>
      <c r="F17" s="97">
        <v>18</v>
      </c>
      <c r="G17" s="97">
        <v>15</v>
      </c>
      <c r="H17" s="97">
        <v>14</v>
      </c>
      <c r="I17" s="97">
        <v>14</v>
      </c>
      <c r="J17" s="97">
        <v>14</v>
      </c>
      <c r="K17" s="97">
        <v>14</v>
      </c>
      <c r="L17" s="97">
        <v>14</v>
      </c>
      <c r="M17" s="97">
        <v>12</v>
      </c>
      <c r="N17" s="97">
        <v>11</v>
      </c>
      <c r="O17" s="97">
        <v>11</v>
      </c>
      <c r="P17" s="97">
        <v>10</v>
      </c>
      <c r="Q17" s="97">
        <v>10</v>
      </c>
      <c r="R17" s="97">
        <v>10</v>
      </c>
      <c r="S17" s="97">
        <v>10</v>
      </c>
    </row>
    <row r="18" spans="1:24" ht="14.4" x14ac:dyDescent="0.3">
      <c r="A18" s="60" t="s">
        <v>105</v>
      </c>
      <c r="B18" s="2">
        <v>4</v>
      </c>
      <c r="C18" s="60" t="s">
        <v>99</v>
      </c>
      <c r="D18" s="60" t="s">
        <v>13</v>
      </c>
      <c r="E18" s="97">
        <v>8</v>
      </c>
      <c r="F18" s="97">
        <v>8</v>
      </c>
      <c r="G18" s="97">
        <v>8</v>
      </c>
      <c r="H18" s="97">
        <v>8</v>
      </c>
      <c r="I18" s="97">
        <v>8</v>
      </c>
      <c r="J18" s="97">
        <v>8</v>
      </c>
      <c r="K18" s="97">
        <v>8</v>
      </c>
      <c r="L18" s="97">
        <v>8</v>
      </c>
      <c r="M18" s="97">
        <v>6</v>
      </c>
      <c r="N18" s="97">
        <v>6</v>
      </c>
      <c r="O18" s="97">
        <v>6</v>
      </c>
      <c r="P18" s="97">
        <v>6</v>
      </c>
      <c r="Q18" s="97">
        <v>5</v>
      </c>
      <c r="R18" s="97">
        <v>5</v>
      </c>
      <c r="S18" s="97">
        <v>5</v>
      </c>
      <c r="T18" s="2">
        <v>5</v>
      </c>
      <c r="U18" s="2">
        <v>5</v>
      </c>
      <c r="V18" s="2">
        <v>4</v>
      </c>
      <c r="W18" s="2">
        <v>1</v>
      </c>
      <c r="X18" s="2">
        <v>1</v>
      </c>
    </row>
    <row r="19" spans="1:24" ht="14.4" x14ac:dyDescent="0.3">
      <c r="A19" s="60" t="s">
        <v>84</v>
      </c>
      <c r="B19" s="2">
        <v>4</v>
      </c>
      <c r="C19" s="60" t="s">
        <v>101</v>
      </c>
      <c r="D19" s="60" t="s">
        <v>13</v>
      </c>
      <c r="E19" s="97">
        <v>8</v>
      </c>
      <c r="F19" s="97">
        <v>8</v>
      </c>
      <c r="G19" s="97">
        <v>8</v>
      </c>
      <c r="H19" s="97">
        <v>8</v>
      </c>
      <c r="I19" s="97">
        <v>8</v>
      </c>
      <c r="J19" s="97">
        <v>8</v>
      </c>
      <c r="K19" s="97">
        <v>8</v>
      </c>
      <c r="L19" s="97">
        <v>8</v>
      </c>
      <c r="M19" s="97"/>
      <c r="N19" s="97"/>
      <c r="O19" s="97"/>
      <c r="P19" s="97"/>
      <c r="Q19" s="97"/>
      <c r="R19" s="97"/>
      <c r="S19" s="97"/>
    </row>
    <row r="20" spans="1:24" ht="14.4" x14ac:dyDescent="0.3">
      <c r="A20" s="60" t="s">
        <v>85</v>
      </c>
      <c r="B20" s="2" t="s">
        <v>97</v>
      </c>
      <c r="C20" t="s">
        <v>100</v>
      </c>
      <c r="D20" s="60" t="s">
        <v>106</v>
      </c>
      <c r="E20" s="97">
        <v>14</v>
      </c>
      <c r="F20" s="97">
        <v>14</v>
      </c>
      <c r="G20" s="97">
        <v>12</v>
      </c>
      <c r="H20" s="97">
        <v>12</v>
      </c>
      <c r="I20" s="97">
        <v>10</v>
      </c>
      <c r="J20" s="97">
        <v>8</v>
      </c>
      <c r="K20" s="97">
        <v>7</v>
      </c>
      <c r="L20" s="97">
        <v>7</v>
      </c>
      <c r="M20" s="97">
        <v>6</v>
      </c>
      <c r="N20" s="97">
        <v>6</v>
      </c>
      <c r="O20" s="97">
        <v>6</v>
      </c>
      <c r="P20" s="97">
        <v>6</v>
      </c>
      <c r="Q20" s="97">
        <v>6</v>
      </c>
      <c r="R20" s="97">
        <v>6</v>
      </c>
      <c r="S20" s="97">
        <v>6</v>
      </c>
    </row>
    <row r="21" spans="1:24" ht="14.4" x14ac:dyDescent="0.3">
      <c r="A21" s="60" t="s">
        <v>104</v>
      </c>
      <c r="B21" s="2">
        <v>2</v>
      </c>
      <c r="C21" s="60" t="s">
        <v>100</v>
      </c>
      <c r="D21" s="60" t="s">
        <v>13</v>
      </c>
      <c r="E21" s="97">
        <v>9</v>
      </c>
      <c r="F21" s="97">
        <v>9</v>
      </c>
      <c r="G21" s="97">
        <v>9</v>
      </c>
      <c r="H21" s="97">
        <v>9</v>
      </c>
      <c r="I21" s="97">
        <v>9</v>
      </c>
      <c r="J21" s="97">
        <v>9</v>
      </c>
      <c r="K21" s="97">
        <v>9</v>
      </c>
      <c r="L21" s="97">
        <v>9</v>
      </c>
      <c r="M21" s="97">
        <v>9</v>
      </c>
      <c r="N21" s="97">
        <v>9</v>
      </c>
      <c r="O21" s="97">
        <v>7</v>
      </c>
      <c r="P21" s="97">
        <v>6</v>
      </c>
      <c r="Q21" s="97">
        <v>5</v>
      </c>
      <c r="R21" s="97">
        <v>4</v>
      </c>
      <c r="S21" s="97">
        <v>4</v>
      </c>
    </row>
    <row r="22" spans="1:24" ht="14.4" x14ac:dyDescent="0.3">
      <c r="A22" s="60" t="s">
        <v>103</v>
      </c>
      <c r="B22" s="2">
        <v>2</v>
      </c>
      <c r="C22" s="60" t="s">
        <v>100</v>
      </c>
      <c r="D22" s="60" t="s">
        <v>13</v>
      </c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</row>
    <row r="23" spans="1:24" ht="14.4" x14ac:dyDescent="0.3">
      <c r="A23" s="60" t="s">
        <v>86</v>
      </c>
      <c r="B23" s="2">
        <v>3</v>
      </c>
      <c r="C23" s="60" t="s">
        <v>101</v>
      </c>
      <c r="D23" s="60" t="s">
        <v>13</v>
      </c>
      <c r="E23" s="97">
        <v>8</v>
      </c>
      <c r="F23" s="97">
        <v>8</v>
      </c>
      <c r="G23" s="97">
        <v>8</v>
      </c>
      <c r="H23" s="97">
        <v>8</v>
      </c>
      <c r="I23" s="97">
        <v>8</v>
      </c>
      <c r="J23" s="97">
        <v>8</v>
      </c>
      <c r="K23" s="97">
        <v>8</v>
      </c>
      <c r="L23" s="97">
        <v>8</v>
      </c>
      <c r="M23" s="97"/>
      <c r="N23" s="97"/>
      <c r="O23" s="97"/>
      <c r="P23" s="97"/>
      <c r="Q23" s="97"/>
      <c r="R23" s="97"/>
      <c r="S23" s="97"/>
    </row>
    <row r="24" spans="1:24" ht="14.4" x14ac:dyDescent="0.3">
      <c r="A24" s="60" t="s">
        <v>87</v>
      </c>
      <c r="B24" s="2">
        <v>4</v>
      </c>
      <c r="C24" s="60" t="s">
        <v>66</v>
      </c>
      <c r="D24" s="60" t="s">
        <v>13</v>
      </c>
      <c r="E24" s="97">
        <v>5</v>
      </c>
      <c r="F24" s="97">
        <v>5</v>
      </c>
      <c r="G24" s="97">
        <v>5</v>
      </c>
      <c r="H24" s="97">
        <v>5</v>
      </c>
      <c r="I24" s="97">
        <v>5</v>
      </c>
      <c r="J24" s="97">
        <v>5</v>
      </c>
      <c r="K24" s="97">
        <v>5</v>
      </c>
      <c r="L24" s="97">
        <v>5</v>
      </c>
      <c r="M24" s="97">
        <v>5</v>
      </c>
      <c r="N24" s="97">
        <v>5</v>
      </c>
      <c r="O24" s="97">
        <v>5</v>
      </c>
      <c r="P24" s="97">
        <v>5</v>
      </c>
      <c r="Q24" s="97">
        <v>5</v>
      </c>
      <c r="R24" s="97">
        <v>5</v>
      </c>
      <c r="S24" s="97">
        <v>5</v>
      </c>
      <c r="T24" s="97">
        <v>5</v>
      </c>
      <c r="U24" s="97">
        <v>5</v>
      </c>
      <c r="V24" s="97">
        <v>5</v>
      </c>
      <c r="W24" s="97">
        <v>5</v>
      </c>
      <c r="X24" s="97">
        <v>5</v>
      </c>
    </row>
    <row r="25" spans="1:24" ht="14.4" x14ac:dyDescent="0.3">
      <c r="A25" s="60" t="s">
        <v>88</v>
      </c>
      <c r="B25" s="2">
        <v>1</v>
      </c>
      <c r="C25" s="60" t="s">
        <v>66</v>
      </c>
      <c r="D25" t="str">
        <f t="shared" ref="D25" si="4">IF(A25&lt;&gt;"","Planned","")</f>
        <v>Planned</v>
      </c>
      <c r="E25" s="97">
        <v>9</v>
      </c>
      <c r="F25" s="97">
        <v>9</v>
      </c>
      <c r="G25" s="97">
        <v>9</v>
      </c>
      <c r="H25" s="97">
        <v>9</v>
      </c>
      <c r="I25" s="97">
        <v>9</v>
      </c>
      <c r="J25" s="97">
        <v>9</v>
      </c>
      <c r="K25" s="97">
        <v>9</v>
      </c>
      <c r="L25" s="97">
        <v>9</v>
      </c>
      <c r="M25" s="97">
        <v>9</v>
      </c>
      <c r="N25" s="97">
        <v>9</v>
      </c>
      <c r="O25" s="97">
        <v>9</v>
      </c>
      <c r="P25" s="97">
        <v>9</v>
      </c>
      <c r="Q25" s="97">
        <v>9</v>
      </c>
      <c r="R25" s="97">
        <v>9</v>
      </c>
      <c r="S25" s="97">
        <v>9</v>
      </c>
      <c r="T25" s="2">
        <v>6</v>
      </c>
      <c r="U25" s="2">
        <v>6</v>
      </c>
      <c r="V25" s="2">
        <v>6</v>
      </c>
      <c r="W25" s="2">
        <v>6</v>
      </c>
      <c r="X25" s="2">
        <v>6</v>
      </c>
    </row>
    <row r="26" spans="1:24" ht="14.4" x14ac:dyDescent="0.3">
      <c r="A26" s="60" t="s">
        <v>102</v>
      </c>
      <c r="B26" s="2" t="s">
        <v>97</v>
      </c>
      <c r="C26" s="60" t="s">
        <v>98</v>
      </c>
      <c r="D26" t="s">
        <v>13</v>
      </c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</row>
    <row r="27" spans="1:24" ht="14.4" x14ac:dyDescent="0.3">
      <c r="A27" s="60" t="s">
        <v>92</v>
      </c>
      <c r="B27" s="2">
        <v>3</v>
      </c>
      <c r="C27" s="60"/>
      <c r="D27" t="s">
        <v>13</v>
      </c>
      <c r="E27" s="97">
        <v>9</v>
      </c>
      <c r="F27" s="97">
        <v>9</v>
      </c>
      <c r="G27" s="97">
        <v>9</v>
      </c>
      <c r="H27" s="97">
        <v>9</v>
      </c>
      <c r="I27" s="97">
        <v>9</v>
      </c>
      <c r="J27" s="97">
        <v>9</v>
      </c>
      <c r="K27" s="97">
        <v>9</v>
      </c>
      <c r="L27" s="97">
        <v>9</v>
      </c>
      <c r="M27" s="97"/>
      <c r="N27" s="97"/>
      <c r="O27" s="97"/>
      <c r="P27" s="97"/>
      <c r="Q27" s="97"/>
      <c r="R27" s="97"/>
      <c r="S27" s="97"/>
    </row>
    <row r="28" spans="1:24" ht="14.4" x14ac:dyDescent="0.3">
      <c r="A28" s="60" t="s">
        <v>89</v>
      </c>
      <c r="B28" s="2" t="s">
        <v>97</v>
      </c>
      <c r="D28" t="s">
        <v>13</v>
      </c>
      <c r="E28" s="97">
        <v>9</v>
      </c>
      <c r="F28" s="97">
        <v>9</v>
      </c>
      <c r="G28" s="97">
        <v>9</v>
      </c>
      <c r="H28" s="97">
        <v>9</v>
      </c>
      <c r="I28" s="97">
        <v>9</v>
      </c>
      <c r="J28" s="97">
        <v>9</v>
      </c>
      <c r="K28" s="97">
        <v>9</v>
      </c>
      <c r="L28" s="97">
        <v>9</v>
      </c>
      <c r="M28" s="97">
        <v>9</v>
      </c>
      <c r="N28" s="97">
        <v>9</v>
      </c>
      <c r="O28" s="97">
        <v>9</v>
      </c>
      <c r="P28" s="97">
        <v>9</v>
      </c>
      <c r="Q28" s="97">
        <v>9</v>
      </c>
      <c r="R28" s="97">
        <v>9</v>
      </c>
      <c r="S28" s="97">
        <v>9</v>
      </c>
    </row>
    <row r="29" spans="1:24" ht="14.4" x14ac:dyDescent="0.3">
      <c r="A29" s="60" t="s">
        <v>90</v>
      </c>
      <c r="B29" s="2" t="s">
        <v>97</v>
      </c>
      <c r="D29" t="str">
        <f>IF(A28&lt;&gt;"","Planned","")</f>
        <v>Planned</v>
      </c>
      <c r="E29" s="97">
        <v>9</v>
      </c>
      <c r="F29" s="97">
        <v>9</v>
      </c>
      <c r="G29" s="97">
        <v>9</v>
      </c>
      <c r="H29" s="97">
        <v>9</v>
      </c>
      <c r="I29" s="97">
        <v>9</v>
      </c>
      <c r="J29" s="97">
        <v>9</v>
      </c>
      <c r="K29" s="97">
        <v>9</v>
      </c>
      <c r="L29" s="97">
        <v>9</v>
      </c>
      <c r="M29" s="97">
        <v>9</v>
      </c>
      <c r="N29" s="97">
        <v>9</v>
      </c>
      <c r="O29" s="97">
        <v>9</v>
      </c>
      <c r="P29" s="97">
        <v>9</v>
      </c>
      <c r="Q29" s="97">
        <v>9</v>
      </c>
      <c r="R29" s="97">
        <v>9</v>
      </c>
      <c r="S29" s="97">
        <v>9</v>
      </c>
    </row>
    <row r="30" spans="1:24" ht="14.4" x14ac:dyDescent="0.3">
      <c r="A30" s="60" t="s">
        <v>91</v>
      </c>
      <c r="B30" s="2" t="s">
        <v>97</v>
      </c>
      <c r="D30" t="s">
        <v>13</v>
      </c>
      <c r="E30" s="97">
        <v>5</v>
      </c>
      <c r="F30" s="97">
        <v>5</v>
      </c>
      <c r="G30" s="97">
        <v>5</v>
      </c>
      <c r="H30" s="97">
        <v>5</v>
      </c>
      <c r="I30" s="97">
        <v>5</v>
      </c>
      <c r="J30" s="97">
        <v>5</v>
      </c>
      <c r="K30" s="97">
        <v>5</v>
      </c>
      <c r="L30" s="97">
        <v>5</v>
      </c>
      <c r="M30" s="97">
        <v>5</v>
      </c>
      <c r="N30" s="97">
        <v>5</v>
      </c>
      <c r="O30" s="97">
        <v>5</v>
      </c>
      <c r="P30" s="97">
        <v>5</v>
      </c>
      <c r="Q30" s="97">
        <v>5</v>
      </c>
      <c r="R30" s="97">
        <v>5</v>
      </c>
      <c r="S30" s="97">
        <v>5</v>
      </c>
    </row>
    <row r="32" spans="1:24" x14ac:dyDescent="0.25">
      <c r="D32" t="str">
        <f t="shared" ref="D32:D58" si="5">IF(A32&lt;&gt;"","Planned","")</f>
        <v/>
      </c>
      <c r="F32" s="2" t="str">
        <f t="shared" ref="F32:F58" si="6">IF(OR(F$14="",$E32=""),"",E32)</f>
        <v/>
      </c>
    </row>
    <row r="33" spans="4:30" x14ac:dyDescent="0.25">
      <c r="D33" t="str">
        <f t="shared" si="5"/>
        <v/>
      </c>
      <c r="F33" s="2" t="str">
        <f t="shared" si="6"/>
        <v/>
      </c>
      <c r="AC33" s="2" t="str">
        <f t="shared" ref="AC33:AC59" si="7">IF(OR(AC$14="",$E32=""),"",AB33)</f>
        <v/>
      </c>
      <c r="AD33" s="2" t="str">
        <f t="shared" ref="AD33:AD59" si="8">IF(OR(AD$14="",$E32=""),"",AC33)</f>
        <v/>
      </c>
    </row>
    <row r="34" spans="4:30" x14ac:dyDescent="0.25">
      <c r="D34" t="str">
        <f t="shared" si="5"/>
        <v/>
      </c>
      <c r="F34" s="2" t="str">
        <f t="shared" si="6"/>
        <v/>
      </c>
      <c r="AC34" s="2" t="str">
        <f t="shared" si="7"/>
        <v/>
      </c>
      <c r="AD34" s="2" t="str">
        <f t="shared" si="8"/>
        <v/>
      </c>
    </row>
    <row r="35" spans="4:30" x14ac:dyDescent="0.25">
      <c r="D35" t="str">
        <f t="shared" si="5"/>
        <v/>
      </c>
      <c r="F35" s="2" t="str">
        <f t="shared" si="6"/>
        <v/>
      </c>
      <c r="AC35" s="2" t="str">
        <f t="shared" si="7"/>
        <v/>
      </c>
      <c r="AD35" s="2" t="str">
        <f t="shared" si="8"/>
        <v/>
      </c>
    </row>
    <row r="36" spans="4:30" x14ac:dyDescent="0.25">
      <c r="D36" t="str">
        <f t="shared" si="5"/>
        <v/>
      </c>
      <c r="F36" s="2" t="str">
        <f t="shared" si="6"/>
        <v/>
      </c>
      <c r="AC36" s="2" t="str">
        <f t="shared" si="7"/>
        <v/>
      </c>
      <c r="AD36" s="2" t="str">
        <f t="shared" si="8"/>
        <v/>
      </c>
    </row>
    <row r="37" spans="4:30" x14ac:dyDescent="0.25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8"/>
        <v/>
      </c>
    </row>
    <row r="38" spans="4:30" x14ac:dyDescent="0.25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8"/>
        <v/>
      </c>
    </row>
    <row r="39" spans="4:30" x14ac:dyDescent="0.25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8"/>
        <v/>
      </c>
    </row>
    <row r="40" spans="4:30" x14ac:dyDescent="0.25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8"/>
        <v/>
      </c>
    </row>
    <row r="41" spans="4:30" x14ac:dyDescent="0.25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8"/>
        <v/>
      </c>
    </row>
    <row r="42" spans="4:30" x14ac:dyDescent="0.25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8"/>
        <v/>
      </c>
    </row>
    <row r="43" spans="4:30" x14ac:dyDescent="0.25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8"/>
        <v/>
      </c>
    </row>
    <row r="44" spans="4:30" x14ac:dyDescent="0.25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8"/>
        <v/>
      </c>
    </row>
    <row r="45" spans="4:30" x14ac:dyDescent="0.25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8"/>
        <v/>
      </c>
    </row>
    <row r="46" spans="4:30" x14ac:dyDescent="0.25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8"/>
        <v/>
      </c>
    </row>
    <row r="47" spans="4:30" x14ac:dyDescent="0.25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8"/>
        <v/>
      </c>
    </row>
    <row r="48" spans="4:30" x14ac:dyDescent="0.25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8"/>
        <v/>
      </c>
    </row>
    <row r="49" spans="1:30" x14ac:dyDescent="0.25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8"/>
        <v/>
      </c>
    </row>
    <row r="50" spans="1:30" x14ac:dyDescent="0.25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8"/>
        <v/>
      </c>
    </row>
    <row r="51" spans="1:30" x14ac:dyDescent="0.25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8"/>
        <v/>
      </c>
    </row>
    <row r="52" spans="1:30" x14ac:dyDescent="0.25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8"/>
        <v/>
      </c>
    </row>
    <row r="53" spans="1:30" x14ac:dyDescent="0.25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8"/>
        <v/>
      </c>
    </row>
    <row r="54" spans="1:30" x14ac:dyDescent="0.25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8"/>
        <v/>
      </c>
    </row>
    <row r="55" spans="1:30" x14ac:dyDescent="0.25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8"/>
        <v/>
      </c>
    </row>
    <row r="56" spans="1:30" x14ac:dyDescent="0.25">
      <c r="D56" t="str">
        <f t="shared" si="5"/>
        <v/>
      </c>
      <c r="F56" s="2" t="str">
        <f t="shared" si="6"/>
        <v/>
      </c>
      <c r="AC56" s="2" t="str">
        <f t="shared" si="7"/>
        <v/>
      </c>
      <c r="AD56" s="2" t="str">
        <f t="shared" si="8"/>
        <v/>
      </c>
    </row>
    <row r="57" spans="1:30" x14ac:dyDescent="0.25">
      <c r="D57" t="str">
        <f t="shared" si="5"/>
        <v/>
      </c>
      <c r="F57" s="2" t="str">
        <f t="shared" si="6"/>
        <v/>
      </c>
      <c r="G57" s="2" t="str">
        <f t="shared" ref="G57:W57" si="9">IF(OR(G$14="",$E57=""),"",F57)</f>
        <v/>
      </c>
      <c r="H57" s="2" t="str">
        <f t="shared" si="9"/>
        <v/>
      </c>
      <c r="I57" s="2" t="str">
        <f t="shared" si="9"/>
        <v/>
      </c>
      <c r="J57" s="2" t="str">
        <f t="shared" si="9"/>
        <v/>
      </c>
      <c r="K57" s="2" t="str">
        <f t="shared" si="9"/>
        <v/>
      </c>
      <c r="L57" s="2" t="str">
        <f t="shared" si="9"/>
        <v/>
      </c>
      <c r="M57" s="2" t="str">
        <f t="shared" si="9"/>
        <v/>
      </c>
      <c r="N57" s="2" t="str">
        <f t="shared" si="9"/>
        <v/>
      </c>
      <c r="O57" s="2" t="str">
        <f t="shared" si="9"/>
        <v/>
      </c>
      <c r="P57" s="2" t="str">
        <f t="shared" si="9"/>
        <v/>
      </c>
      <c r="Q57" s="2" t="str">
        <f t="shared" si="9"/>
        <v/>
      </c>
      <c r="R57" s="2" t="str">
        <f t="shared" si="9"/>
        <v/>
      </c>
      <c r="S57" s="2" t="str">
        <f t="shared" si="9"/>
        <v/>
      </c>
      <c r="T57" s="2" t="str">
        <f t="shared" si="9"/>
        <v/>
      </c>
      <c r="U57" s="2" t="str">
        <f t="shared" si="9"/>
        <v/>
      </c>
      <c r="V57" s="2" t="str">
        <f t="shared" si="9"/>
        <v/>
      </c>
      <c r="W57" s="2" t="str">
        <f t="shared" si="9"/>
        <v/>
      </c>
      <c r="AC57" s="2" t="str">
        <f t="shared" si="7"/>
        <v/>
      </c>
      <c r="AD57" s="2" t="str">
        <f t="shared" si="8"/>
        <v/>
      </c>
    </row>
    <row r="58" spans="1:30" x14ac:dyDescent="0.25">
      <c r="D58" t="str">
        <f t="shared" si="5"/>
        <v/>
      </c>
      <c r="F58" s="2" t="str">
        <f t="shared" si="6"/>
        <v/>
      </c>
      <c r="G58" s="2" t="str">
        <f t="shared" ref="G58:W58" si="10">IF(OR(G$14="",$E58=""),"",F58)</f>
        <v/>
      </c>
      <c r="H58" s="2" t="str">
        <f t="shared" si="10"/>
        <v/>
      </c>
      <c r="I58" s="2" t="str">
        <f t="shared" si="10"/>
        <v/>
      </c>
      <c r="J58" s="2" t="str">
        <f t="shared" si="10"/>
        <v/>
      </c>
      <c r="K58" s="2" t="str">
        <f t="shared" si="10"/>
        <v/>
      </c>
      <c r="L58" s="2" t="str">
        <f t="shared" si="10"/>
        <v/>
      </c>
      <c r="M58" s="2" t="str">
        <f t="shared" si="10"/>
        <v/>
      </c>
      <c r="N58" s="2" t="str">
        <f t="shared" si="10"/>
        <v/>
      </c>
      <c r="O58" s="2" t="str">
        <f t="shared" si="10"/>
        <v/>
      </c>
      <c r="P58" s="2" t="str">
        <f t="shared" si="10"/>
        <v/>
      </c>
      <c r="Q58" s="2" t="str">
        <f t="shared" si="10"/>
        <v/>
      </c>
      <c r="R58" s="2" t="str">
        <f t="shared" si="10"/>
        <v/>
      </c>
      <c r="S58" s="2" t="str">
        <f t="shared" si="10"/>
        <v/>
      </c>
      <c r="T58" s="2" t="str">
        <f t="shared" si="10"/>
        <v/>
      </c>
      <c r="U58" s="2" t="str">
        <f t="shared" si="10"/>
        <v/>
      </c>
      <c r="V58" s="2" t="str">
        <f t="shared" si="10"/>
        <v/>
      </c>
      <c r="W58" s="2" t="str">
        <f t="shared" si="10"/>
        <v/>
      </c>
      <c r="X58" s="2" t="str">
        <f>IF(OR(X$14="",$E57=""),"",W57)</f>
        <v/>
      </c>
      <c r="Y58" s="2" t="str">
        <f t="shared" ref="Y58:AB59" si="11">IF(OR(Y$14="",$E57=""),"",X58)</f>
        <v/>
      </c>
      <c r="Z58" s="2" t="str">
        <f t="shared" si="11"/>
        <v/>
      </c>
      <c r="AA58" s="2" t="str">
        <f t="shared" si="11"/>
        <v/>
      </c>
      <c r="AB58" s="2" t="str">
        <f t="shared" si="11"/>
        <v/>
      </c>
      <c r="AC58" s="2" t="str">
        <f t="shared" si="7"/>
        <v/>
      </c>
      <c r="AD58" s="2" t="str">
        <f t="shared" si="8"/>
        <v/>
      </c>
    </row>
    <row r="59" spans="1:30" x14ac:dyDescent="0.25">
      <c r="X59" s="2" t="str">
        <f>IF(OR(X$14="",$E58=""),"",W58)</f>
        <v/>
      </c>
      <c r="Y59" s="2" t="str">
        <f t="shared" si="11"/>
        <v/>
      </c>
      <c r="Z59" s="2" t="str">
        <f t="shared" si="11"/>
        <v/>
      </c>
      <c r="AA59" s="2" t="str">
        <f t="shared" si="11"/>
        <v/>
      </c>
      <c r="AB59" s="2" t="str">
        <f t="shared" si="11"/>
        <v/>
      </c>
      <c r="AC59" s="2" t="str">
        <f t="shared" si="7"/>
        <v/>
      </c>
      <c r="AD59" s="2" t="str">
        <f t="shared" si="8"/>
        <v/>
      </c>
    </row>
    <row r="60" spans="1:30" x14ac:dyDescent="0.25">
      <c r="A60" s="60"/>
      <c r="C60" s="60"/>
      <c r="AC60" s="2">
        <f>IF(OR(AC$14="",$E30=""),"",AB60)</f>
        <v>0</v>
      </c>
      <c r="AD60" s="2">
        <f>IF(OR(AD$14="",$E30=""),"",AC60)</f>
        <v>0</v>
      </c>
    </row>
    <row r="61" spans="1:30" x14ac:dyDescent="0.25">
      <c r="A61" s="60"/>
      <c r="C61" s="60"/>
      <c r="AC61" s="2" t="str">
        <f>IF(OR(AC$14="",$E60=""),"",AB61)</f>
        <v/>
      </c>
      <c r="AD61" s="2" t="str">
        <f>IF(OR(AD$14="",$E60=""),"",AC61)</f>
        <v/>
      </c>
    </row>
    <row r="62" spans="1:30" x14ac:dyDescent="0.25">
      <c r="AC62" s="2" t="str">
        <f>IF(OR(AC$14="",$E61=""),"",AB62)</f>
        <v/>
      </c>
      <c r="AD62" s="2" t="str">
        <f>IF(OR(AD$14="",$E61=""),"",AC62)</f>
        <v/>
      </c>
    </row>
    <row r="66" spans="4:4" x14ac:dyDescent="0.25">
      <c r="D66" t="str">
        <f>IF(A66&lt;&gt;"","Planned","")</f>
        <v/>
      </c>
    </row>
  </sheetData>
  <sortState xmlns:xlrd2="http://schemas.microsoft.com/office/spreadsheetml/2017/richdata2" ref="A15:AD65">
    <sortCondition ref="B14"/>
    <sortCondition ref="D14"/>
  </sortState>
  <phoneticPr fontId="2" type="noConversion"/>
  <conditionalFormatting sqref="B31:F31 C27 B29:D30 A60:W60 A32:W58 C19:D26 A19:A27 T15:AD23 T26:W26 B25:B26 T25:AD25 Y24:AD24">
    <cfRule type="expression" dxfId="37" priority="21" stopIfTrue="1">
      <formula>$D15="Done"</formula>
    </cfRule>
    <cfRule type="expression" dxfId="36" priority="22" stopIfTrue="1">
      <formula>$D15="Ongoing"</formula>
    </cfRule>
  </conditionalFormatting>
  <conditionalFormatting sqref="A15:D18">
    <cfRule type="expression" dxfId="35" priority="23" stopIfTrue="1">
      <formula>$D15="Done"</formula>
    </cfRule>
    <cfRule type="expression" dxfId="34" priority="24" stopIfTrue="1">
      <formula>$D15="Ongoing"</formula>
    </cfRule>
  </conditionalFormatting>
  <conditionalFormatting sqref="B19">
    <cfRule type="expression" dxfId="33" priority="19" stopIfTrue="1">
      <formula>$D19="Done"</formula>
    </cfRule>
    <cfRule type="expression" dxfId="32" priority="20" stopIfTrue="1">
      <formula>$D19="Ongoing"</formula>
    </cfRule>
  </conditionalFormatting>
  <conditionalFormatting sqref="B20">
    <cfRule type="expression" dxfId="31" priority="17" stopIfTrue="1">
      <formula>$D20="Done"</formula>
    </cfRule>
    <cfRule type="expression" dxfId="30" priority="18" stopIfTrue="1">
      <formula>$D20="Ongoing"</formula>
    </cfRule>
  </conditionalFormatting>
  <conditionalFormatting sqref="B21:B22">
    <cfRule type="expression" dxfId="29" priority="15" stopIfTrue="1">
      <formula>$D21="Done"</formula>
    </cfRule>
    <cfRule type="expression" dxfId="28" priority="16" stopIfTrue="1">
      <formula>$D21="Ongoing"</formula>
    </cfRule>
  </conditionalFormatting>
  <conditionalFormatting sqref="B23">
    <cfRule type="expression" dxfId="27" priority="13" stopIfTrue="1">
      <formula>$D23="Done"</formula>
    </cfRule>
    <cfRule type="expression" dxfId="26" priority="14" stopIfTrue="1">
      <formula>$D23="Ongoing"</formula>
    </cfRule>
  </conditionalFormatting>
  <conditionalFormatting sqref="B24">
    <cfRule type="expression" dxfId="25" priority="11" stopIfTrue="1">
      <formula>$D24="Done"</formula>
    </cfRule>
    <cfRule type="expression" dxfId="24" priority="12" stopIfTrue="1">
      <formula>$D24="Ongoing"</formula>
    </cfRule>
  </conditionalFormatting>
  <conditionalFormatting sqref="X29:AD29 T28:W28">
    <cfRule type="expression" dxfId="23" priority="49" stopIfTrue="1">
      <formula>#REF!="Done"</formula>
    </cfRule>
    <cfRule type="expression" dxfId="22" priority="50" stopIfTrue="1">
      <formula>#REF!="Ongoing"</formula>
    </cfRule>
  </conditionalFormatting>
  <conditionalFormatting sqref="T29:W29 T27:W27">
    <cfRule type="expression" dxfId="21" priority="55" stopIfTrue="1">
      <formula>$D29="Done"</formula>
    </cfRule>
    <cfRule type="expression" dxfId="20" priority="56" stopIfTrue="1">
      <formula>$D29="Ongoing"</formula>
    </cfRule>
  </conditionalFormatting>
  <conditionalFormatting sqref="X32:AD32 G31:AD31 T30:W30">
    <cfRule type="expression" dxfId="19" priority="57" stopIfTrue="1">
      <formula>#REF!="Done"</formula>
    </cfRule>
    <cfRule type="expression" dxfId="18" priority="58" stopIfTrue="1">
      <formula>#REF!="Ongoing"</formula>
    </cfRule>
  </conditionalFormatting>
  <conditionalFormatting sqref="S59:W59">
    <cfRule type="expression" dxfId="17" priority="75" stopIfTrue="1">
      <formula>$D30="Done"</formula>
    </cfRule>
    <cfRule type="expression" dxfId="16" priority="76" stopIfTrue="1">
      <formula>$D30="Ongoing"</formula>
    </cfRule>
  </conditionalFormatting>
  <conditionalFormatting sqref="A28:A30 X30:AD30 X28:AD28">
    <cfRule type="expression" dxfId="15" priority="79" stopIfTrue="1">
      <formula>$D29="Done"</formula>
    </cfRule>
    <cfRule type="expression" dxfId="14" priority="80" stopIfTrue="1">
      <formula>$D29="Ongoing"</formula>
    </cfRule>
  </conditionalFormatting>
  <conditionalFormatting sqref="D28">
    <cfRule type="expression" dxfId="13" priority="3" stopIfTrue="1">
      <formula>$D28="Done"</formula>
    </cfRule>
    <cfRule type="expression" dxfId="12" priority="4" stopIfTrue="1">
      <formula>$D28="Ongoing"</formula>
    </cfRule>
  </conditionalFormatting>
  <conditionalFormatting sqref="D27">
    <cfRule type="expression" dxfId="11" priority="1" stopIfTrue="1">
      <formula>$D27="Done"</formula>
    </cfRule>
    <cfRule type="expression" dxfId="10" priority="2" stopIfTrue="1">
      <formula>$D27="Ongoing"</formula>
    </cfRule>
  </conditionalFormatting>
  <conditionalFormatting sqref="X61:AD61 X33:AD59 X27:AD27">
    <cfRule type="expression" dxfId="9" priority="81" stopIfTrue="1">
      <formula>$D26="Done"</formula>
    </cfRule>
    <cfRule type="expression" dxfId="8" priority="82" stopIfTrue="1">
      <formula>$D26="Ongoing"</formula>
    </cfRule>
  </conditionalFormatting>
  <conditionalFormatting sqref="X26:AD26">
    <cfRule type="expression" dxfId="7" priority="103" stopIfTrue="1">
      <formula>#REF!="Done"</formula>
    </cfRule>
    <cfRule type="expression" dxfId="6" priority="104" stopIfTrue="1">
      <formula>#REF!="Ongoing"</formula>
    </cfRule>
  </conditionalFormatting>
  <conditionalFormatting sqref="X60:AD60">
    <cfRule type="expression" dxfId="5" priority="129" stopIfTrue="1">
      <formula>$D30="Done"</formula>
    </cfRule>
    <cfRule type="expression" dxfId="4" priority="130" stopIfTrue="1">
      <formula>$D30="Ongoing"</formula>
    </cfRule>
  </conditionalFormatting>
  <dataValidations count="1">
    <dataValidation type="list" allowBlank="1" showInputMessage="1" sqref="D3:D8 D60:D66 D15:D5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F5D-7A8A-43A0-BB60-D71E17F206F5}">
  <sheetPr codeName="Sheet5"/>
  <dimension ref="A1:AD64"/>
  <sheetViews>
    <sheetView zoomScale="115" zoomScaleNormal="115" workbookViewId="0">
      <pane ySplit="14" topLeftCell="A39" activePane="bottomLeft" state="frozen"/>
      <selection pane="bottomLeft" activeCell="A43" sqref="A43"/>
    </sheetView>
  </sheetViews>
  <sheetFormatPr baseColWidth="10" defaultColWidth="8.88671875" defaultRowHeight="13.2" x14ac:dyDescent="0.25"/>
  <cols>
    <col min="1" max="1" width="38.44140625" style="86" customWidth="1"/>
    <col min="2" max="2" width="8.44140625" style="87" customWidth="1"/>
    <col min="3" max="3" width="13.6640625" style="86" customWidth="1"/>
    <col min="4" max="4" width="10.6640625" style="86" customWidth="1"/>
    <col min="5" max="5" width="6.44140625" style="87" customWidth="1"/>
    <col min="6" max="30" width="4.44140625" style="87" customWidth="1"/>
    <col min="31" max="16384" width="8.88671875" style="86"/>
  </cols>
  <sheetData>
    <row r="1" spans="1:30" ht="17.399999999999999" x14ac:dyDescent="0.3">
      <c r="A1" s="84">
        <v>1</v>
      </c>
      <c r="B1" s="85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</row>
    <row r="2" spans="1:30" x14ac:dyDescent="0.25"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</row>
    <row r="3" spans="1:30" x14ac:dyDescent="0.25">
      <c r="A3" s="86" t="s">
        <v>59</v>
      </c>
    </row>
    <row r="9" spans="1:30" x14ac:dyDescent="0.25">
      <c r="A9" s="88" t="s">
        <v>45</v>
      </c>
      <c r="B9" s="87">
        <v>15</v>
      </c>
      <c r="C9" s="88"/>
      <c r="D9" s="89"/>
      <c r="E9" s="88" t="s">
        <v>46</v>
      </c>
      <c r="F9" s="88" t="s">
        <v>47</v>
      </c>
      <c r="G9" s="88"/>
      <c r="H9" s="88"/>
      <c r="I9" s="88"/>
      <c r="J9" s="88"/>
      <c r="K9" s="88"/>
      <c r="L9" s="88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</row>
    <row r="10" spans="1:30" x14ac:dyDescent="0.25">
      <c r="A10" s="88" t="s">
        <v>48</v>
      </c>
      <c r="B10" s="87">
        <v>5</v>
      </c>
      <c r="C10" s="88" t="s">
        <v>3</v>
      </c>
      <c r="D10" s="88" t="s">
        <v>49</v>
      </c>
      <c r="E10" s="90">
        <f ca="1">SUM(OFFSET(E14,1,0,TaskRows,1))</f>
        <v>44</v>
      </c>
      <c r="F10" s="90">
        <f ca="1">IF(AND(SUM(OFFSET(F14,1,0,TaskRows,1))=0),0,SUM(OFFSET(F14,1,0,TaskRows,1)))</f>
        <v>44</v>
      </c>
      <c r="G10" s="90">
        <f t="shared" ref="G10:AD10" ca="1" si="0">IF(AND(SUM(OFFSET(G14,1,0,TaskRows,1))=0),"",SUM(OFFSET(G14,1,0,TaskRows,1)))</f>
        <v>41</v>
      </c>
      <c r="H10" s="90">
        <f t="shared" ca="1" si="0"/>
        <v>37</v>
      </c>
      <c r="I10" s="90">
        <f t="shared" ca="1" si="0"/>
        <v>33</v>
      </c>
      <c r="J10" s="90">
        <f t="shared" ca="1" si="0"/>
        <v>31</v>
      </c>
      <c r="K10" s="90">
        <f t="shared" ca="1" si="0"/>
        <v>22</v>
      </c>
      <c r="L10" s="90">
        <f t="shared" ca="1" si="0"/>
        <v>21</v>
      </c>
      <c r="M10" s="90" t="str">
        <f t="shared" ca="1" si="0"/>
        <v/>
      </c>
      <c r="N10" s="90" t="str">
        <f t="shared" ca="1" si="0"/>
        <v/>
      </c>
      <c r="O10" s="90" t="str">
        <f t="shared" ca="1" si="0"/>
        <v/>
      </c>
      <c r="P10" s="90" t="str">
        <f t="shared" ca="1" si="0"/>
        <v/>
      </c>
      <c r="Q10" s="90" t="str">
        <f t="shared" ca="1" si="0"/>
        <v/>
      </c>
      <c r="R10" s="90" t="str">
        <f t="shared" ca="1" si="0"/>
        <v/>
      </c>
      <c r="S10" s="90" t="str">
        <f t="shared" ca="1" si="0"/>
        <v/>
      </c>
      <c r="T10" s="90" t="str">
        <f t="shared" ca="1" si="0"/>
        <v/>
      </c>
      <c r="U10" s="90" t="str">
        <f t="shared" ca="1" si="0"/>
        <v/>
      </c>
      <c r="V10" s="90" t="str">
        <f t="shared" ca="1" si="0"/>
        <v/>
      </c>
      <c r="W10" s="90" t="str">
        <f t="shared" ca="1" si="0"/>
        <v/>
      </c>
      <c r="X10" s="90" t="str">
        <f t="shared" ca="1" si="0"/>
        <v/>
      </c>
      <c r="Y10" s="90" t="str">
        <f t="shared" ca="1" si="0"/>
        <v/>
      </c>
      <c r="Z10" s="90" t="str">
        <f t="shared" ca="1" si="0"/>
        <v/>
      </c>
      <c r="AA10" s="90" t="str">
        <f t="shared" ca="1" si="0"/>
        <v/>
      </c>
      <c r="AB10" s="90" t="str">
        <f t="shared" ca="1" si="0"/>
        <v/>
      </c>
      <c r="AC10" s="90" t="str">
        <f t="shared" ca="1" si="0"/>
        <v/>
      </c>
      <c r="AD10" s="90" t="str">
        <f t="shared" ca="1" si="0"/>
        <v/>
      </c>
    </row>
    <row r="11" spans="1:30" hidden="1" x14ac:dyDescent="0.25">
      <c r="A11" s="86" t="s">
        <v>50</v>
      </c>
      <c r="B11" s="87">
        <f>IF(COUNTA(A15:A242)=0,1,COUNTA(A15:A242))</f>
        <v>15</v>
      </c>
      <c r="C11" s="86" t="s">
        <v>51</v>
      </c>
      <c r="D11" s="87">
        <f ca="1">IF(COUNTIF(F10:AD10,"&gt;0")=0,1,COUNTIF(F10:AD10,"&gt;0"))</f>
        <v>7</v>
      </c>
      <c r="F11" s="87">
        <f ca="1">IF(F14="","",$E10-$E10/($B9-1)*(F14-1))</f>
        <v>44</v>
      </c>
      <c r="G11" s="87">
        <f t="shared" ref="G11:AD11" ca="1" si="1">IF(G14="","",TotalEffort-TotalEffort/(ImplementationDays)*(G14-1))</f>
        <v>41.06666666666667</v>
      </c>
      <c r="H11" s="87">
        <f t="shared" ca="1" si="1"/>
        <v>38.133333333333333</v>
      </c>
      <c r="I11" s="87">
        <f t="shared" ca="1" si="1"/>
        <v>35.200000000000003</v>
      </c>
      <c r="J11" s="87">
        <f t="shared" ca="1" si="1"/>
        <v>32.266666666666666</v>
      </c>
      <c r="K11" s="87">
        <f t="shared" ca="1" si="1"/>
        <v>29.333333333333336</v>
      </c>
      <c r="L11" s="87">
        <f t="shared" ca="1" si="1"/>
        <v>26.400000000000002</v>
      </c>
      <c r="M11" s="87">
        <f t="shared" ca="1" si="1"/>
        <v>23.466666666666669</v>
      </c>
      <c r="N11" s="87">
        <f t="shared" ca="1" si="1"/>
        <v>20.533333333333335</v>
      </c>
      <c r="O11" s="87">
        <f t="shared" ca="1" si="1"/>
        <v>17.600000000000001</v>
      </c>
      <c r="P11" s="87">
        <f t="shared" ca="1" si="1"/>
        <v>14.666666666666668</v>
      </c>
      <c r="Q11" s="87">
        <f t="shared" ca="1" si="1"/>
        <v>11.733333333333334</v>
      </c>
      <c r="R11" s="87">
        <f t="shared" ca="1" si="1"/>
        <v>8.8000000000000043</v>
      </c>
      <c r="S11" s="87">
        <f t="shared" ca="1" si="1"/>
        <v>5.8666666666666671</v>
      </c>
      <c r="T11" s="87">
        <f t="shared" ca="1" si="1"/>
        <v>2.9333333333333371</v>
      </c>
      <c r="U11" s="87" t="str">
        <f t="shared" si="1"/>
        <v/>
      </c>
      <c r="V11" s="87" t="str">
        <f t="shared" si="1"/>
        <v/>
      </c>
      <c r="W11" s="87" t="str">
        <f t="shared" si="1"/>
        <v/>
      </c>
      <c r="X11" s="87" t="str">
        <f t="shared" si="1"/>
        <v/>
      </c>
      <c r="Y11" s="87" t="str">
        <f t="shared" si="1"/>
        <v/>
      </c>
      <c r="Z11" s="87" t="str">
        <f t="shared" si="1"/>
        <v/>
      </c>
      <c r="AA11" s="87" t="str">
        <f t="shared" si="1"/>
        <v/>
      </c>
      <c r="AB11" s="87" t="str">
        <f t="shared" si="1"/>
        <v/>
      </c>
      <c r="AC11" s="87" t="str">
        <f t="shared" si="1"/>
        <v/>
      </c>
      <c r="AD11" s="87" t="str">
        <f t="shared" si="1"/>
        <v/>
      </c>
    </row>
    <row r="12" spans="1:30" hidden="1" x14ac:dyDescent="0.25">
      <c r="A12" s="91" t="s">
        <v>52</v>
      </c>
      <c r="B12" s="86"/>
      <c r="C12" s="86" t="s">
        <v>53</v>
      </c>
      <c r="D12" s="87"/>
      <c r="F12" s="87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</v>
      </c>
      <c r="G12" s="87">
        <f t="shared" ca="1" si="2"/>
        <v>41.7</v>
      </c>
      <c r="H12" s="87">
        <f t="shared" ca="1" si="2"/>
        <v>37.400000000000006</v>
      </c>
      <c r="I12" s="87">
        <f t="shared" ca="1" si="2"/>
        <v>33.1</v>
      </c>
      <c r="J12" s="87">
        <f t="shared" ca="1" si="2"/>
        <v>28.8</v>
      </c>
      <c r="K12" s="87">
        <f t="shared" ca="1" si="2"/>
        <v>24.5</v>
      </c>
      <c r="L12" s="87">
        <f t="shared" ca="1" si="2"/>
        <v>20.2</v>
      </c>
      <c r="M12" s="87">
        <f t="shared" ca="1" si="2"/>
        <v>15.899999999999999</v>
      </c>
      <c r="N12" s="87">
        <f t="shared" ca="1" si="2"/>
        <v>11.600000000000001</v>
      </c>
      <c r="O12" s="87">
        <f t="shared" ca="1" si="2"/>
        <v>7.2999999999999972</v>
      </c>
      <c r="P12" s="87">
        <f t="shared" ca="1" si="2"/>
        <v>2.9999999999999929</v>
      </c>
      <c r="Q12" s="87" t="str">
        <f t="shared" ca="1" si="2"/>
        <v/>
      </c>
      <c r="R12" s="87" t="str">
        <f t="shared" ca="1" si="2"/>
        <v/>
      </c>
      <c r="S12" s="87" t="str">
        <f t="shared" ca="1" si="2"/>
        <v/>
      </c>
      <c r="T12" s="87" t="str">
        <f t="shared" ca="1" si="2"/>
        <v/>
      </c>
      <c r="U12" s="87" t="str">
        <f t="shared" ca="1" si="2"/>
        <v/>
      </c>
      <c r="V12" s="87" t="str">
        <f t="shared" ca="1" si="2"/>
        <v/>
      </c>
      <c r="W12" s="87" t="str">
        <f t="shared" ca="1" si="2"/>
        <v/>
      </c>
      <c r="X12" s="87" t="str">
        <f t="shared" ca="1" si="2"/>
        <v/>
      </c>
      <c r="Y12" s="87" t="str">
        <f t="shared" ca="1" si="2"/>
        <v/>
      </c>
      <c r="Z12" s="87" t="str">
        <f t="shared" ca="1" si="2"/>
        <v/>
      </c>
      <c r="AA12" s="87" t="str">
        <f t="shared" ca="1" si="2"/>
        <v/>
      </c>
      <c r="AB12" s="87" t="str">
        <f t="shared" ca="1" si="2"/>
        <v/>
      </c>
      <c r="AC12" s="87" t="str">
        <f t="shared" ca="1" si="2"/>
        <v/>
      </c>
      <c r="AD12" s="87" t="str">
        <f t="shared" ca="1" si="2"/>
        <v/>
      </c>
    </row>
    <row r="13" spans="1:30" hidden="1" x14ac:dyDescent="0.25">
      <c r="A13" s="91" t="s">
        <v>54</v>
      </c>
      <c r="B13" s="86"/>
      <c r="C13" s="86" t="s">
        <v>55</v>
      </c>
      <c r="D13" s="87">
        <f ca="1">IF(DoneDays&gt;B10,B10,DoneDays)</f>
        <v>5</v>
      </c>
      <c r="F13" s="87">
        <f ca="1">IF(DoneDays&gt;E13,E13+1,"")</f>
        <v>1</v>
      </c>
      <c r="G13" s="87">
        <v>2</v>
      </c>
      <c r="H13" s="87">
        <v>3</v>
      </c>
      <c r="I13" s="87">
        <v>4</v>
      </c>
      <c r="J13" s="87">
        <v>5</v>
      </c>
      <c r="K13" s="87">
        <v>6</v>
      </c>
      <c r="L13" s="87">
        <v>7</v>
      </c>
      <c r="M13" s="87">
        <v>8</v>
      </c>
      <c r="N13" s="87">
        <v>9</v>
      </c>
      <c r="O13" s="87">
        <v>10</v>
      </c>
      <c r="P13" s="87">
        <v>11</v>
      </c>
      <c r="Q13" s="87">
        <v>12</v>
      </c>
      <c r="R13" s="87">
        <v>13</v>
      </c>
      <c r="S13" s="87">
        <v>14</v>
      </c>
      <c r="T13" s="87">
        <v>15</v>
      </c>
      <c r="U13" s="87">
        <v>16</v>
      </c>
      <c r="V13" s="87">
        <v>17</v>
      </c>
      <c r="W13" s="87">
        <v>18</v>
      </c>
      <c r="X13" s="87">
        <v>19</v>
      </c>
      <c r="Y13" s="87">
        <v>20</v>
      </c>
      <c r="Z13" s="87">
        <v>21</v>
      </c>
      <c r="AA13" s="87">
        <v>22</v>
      </c>
      <c r="AB13" s="87">
        <v>23</v>
      </c>
      <c r="AC13" s="87">
        <v>24</v>
      </c>
      <c r="AD13" s="87">
        <v>25</v>
      </c>
    </row>
    <row r="14" spans="1:30" x14ac:dyDescent="0.25">
      <c r="A14" s="88" t="s">
        <v>56</v>
      </c>
      <c r="B14" s="92" t="s">
        <v>21</v>
      </c>
      <c r="C14" s="88" t="s">
        <v>57</v>
      </c>
      <c r="D14" s="88" t="s">
        <v>6</v>
      </c>
      <c r="E14" s="92" t="s">
        <v>58</v>
      </c>
      <c r="F14" s="92">
        <v>1</v>
      </c>
      <c r="G14" s="92">
        <f t="shared" ref="G14:AD14" si="3">IF($B$9&gt;F14,F14+1,"")</f>
        <v>2</v>
      </c>
      <c r="H14" s="92">
        <f t="shared" si="3"/>
        <v>3</v>
      </c>
      <c r="I14" s="92">
        <f t="shared" si="3"/>
        <v>4</v>
      </c>
      <c r="J14" s="92">
        <f t="shared" si="3"/>
        <v>5</v>
      </c>
      <c r="K14" s="92">
        <f t="shared" si="3"/>
        <v>6</v>
      </c>
      <c r="L14" s="92">
        <f t="shared" si="3"/>
        <v>7</v>
      </c>
      <c r="M14" s="92">
        <f t="shared" si="3"/>
        <v>8</v>
      </c>
      <c r="N14" s="92">
        <f t="shared" si="3"/>
        <v>9</v>
      </c>
      <c r="O14" s="92">
        <f t="shared" si="3"/>
        <v>10</v>
      </c>
      <c r="P14" s="92">
        <f t="shared" si="3"/>
        <v>11</v>
      </c>
      <c r="Q14" s="92">
        <f t="shared" si="3"/>
        <v>12</v>
      </c>
      <c r="R14" s="92">
        <f t="shared" si="3"/>
        <v>13</v>
      </c>
      <c r="S14" s="92">
        <f t="shared" si="3"/>
        <v>14</v>
      </c>
      <c r="T14" s="92">
        <f t="shared" si="3"/>
        <v>15</v>
      </c>
      <c r="U14" s="92" t="str">
        <f t="shared" si="3"/>
        <v/>
      </c>
      <c r="V14" s="92" t="str">
        <f t="shared" si="3"/>
        <v/>
      </c>
      <c r="W14" s="92" t="str">
        <f t="shared" si="3"/>
        <v/>
      </c>
      <c r="X14" s="92" t="str">
        <f t="shared" si="3"/>
        <v/>
      </c>
      <c r="Y14" s="92" t="str">
        <f t="shared" si="3"/>
        <v/>
      </c>
      <c r="Z14" s="92" t="str">
        <f t="shared" si="3"/>
        <v/>
      </c>
      <c r="AA14" s="92" t="str">
        <f t="shared" si="3"/>
        <v/>
      </c>
      <c r="AB14" s="92" t="str">
        <f t="shared" si="3"/>
        <v/>
      </c>
      <c r="AC14" s="92" t="str">
        <f t="shared" si="3"/>
        <v/>
      </c>
      <c r="AD14" s="92" t="str">
        <f t="shared" si="3"/>
        <v/>
      </c>
    </row>
    <row r="15" spans="1:30" x14ac:dyDescent="0.25">
      <c r="A15" s="86" t="s">
        <v>60</v>
      </c>
      <c r="B15" s="87">
        <v>4</v>
      </c>
      <c r="C15" s="86" t="s">
        <v>61</v>
      </c>
      <c r="D15" s="86" t="s">
        <v>62</v>
      </c>
      <c r="E15" s="87">
        <v>5</v>
      </c>
      <c r="F15" s="87">
        <f t="shared" ref="F15:U59" si="4">IF(OR(F$14="",$E15=""),"",E15)</f>
        <v>5</v>
      </c>
      <c r="G15" s="87">
        <v>5</v>
      </c>
      <c r="H15" s="87">
        <v>5</v>
      </c>
      <c r="I15" s="87">
        <v>5</v>
      </c>
      <c r="J15" s="87">
        <v>3</v>
      </c>
      <c r="K15" s="87">
        <v>1</v>
      </c>
      <c r="L15" s="87">
        <v>0</v>
      </c>
    </row>
    <row r="16" spans="1:30" x14ac:dyDescent="0.25">
      <c r="A16" s="86" t="s">
        <v>63</v>
      </c>
      <c r="B16" s="87">
        <v>4</v>
      </c>
      <c r="C16" s="86" t="s">
        <v>64</v>
      </c>
      <c r="D16" s="86" t="s">
        <v>62</v>
      </c>
      <c r="E16" s="87">
        <v>4</v>
      </c>
      <c r="F16" s="87">
        <f t="shared" si="4"/>
        <v>4</v>
      </c>
      <c r="G16" s="87">
        <v>2</v>
      </c>
      <c r="H16" s="87">
        <v>0</v>
      </c>
      <c r="AC16" s="87" t="str">
        <f t="shared" ref="AC16:AD35" si="5">IF(OR(AC$14="",$E16=""),"",AB16)</f>
        <v/>
      </c>
      <c r="AD16" s="87" t="str">
        <f t="shared" si="5"/>
        <v/>
      </c>
    </row>
    <row r="17" spans="1:30" x14ac:dyDescent="0.25">
      <c r="A17" s="86" t="s">
        <v>65</v>
      </c>
      <c r="B17" s="87">
        <v>4</v>
      </c>
      <c r="C17" s="86" t="s">
        <v>66</v>
      </c>
      <c r="D17" s="86" t="s">
        <v>62</v>
      </c>
      <c r="E17" s="87">
        <v>2</v>
      </c>
      <c r="F17" s="87">
        <f t="shared" si="4"/>
        <v>2</v>
      </c>
      <c r="G17" s="87">
        <v>2</v>
      </c>
      <c r="H17" s="87">
        <v>2</v>
      </c>
      <c r="I17" s="87">
        <v>2</v>
      </c>
      <c r="J17" s="87">
        <v>2</v>
      </c>
      <c r="K17" s="87">
        <v>0</v>
      </c>
      <c r="AC17" s="87" t="str">
        <f t="shared" si="5"/>
        <v/>
      </c>
      <c r="AD17" s="87" t="str">
        <f t="shared" si="5"/>
        <v/>
      </c>
    </row>
    <row r="18" spans="1:30" x14ac:dyDescent="0.25">
      <c r="A18" s="86" t="s">
        <v>67</v>
      </c>
      <c r="B18" s="87">
        <v>4</v>
      </c>
      <c r="C18" s="86" t="s">
        <v>68</v>
      </c>
      <c r="D18" s="86" t="s">
        <v>62</v>
      </c>
      <c r="E18" s="87">
        <v>2</v>
      </c>
      <c r="F18" s="87">
        <f t="shared" si="4"/>
        <v>2</v>
      </c>
      <c r="G18" s="87">
        <v>2</v>
      </c>
      <c r="H18" s="87">
        <v>0</v>
      </c>
      <c r="AC18" s="87" t="str">
        <f t="shared" si="5"/>
        <v/>
      </c>
      <c r="AD18" s="87" t="str">
        <f t="shared" si="5"/>
        <v/>
      </c>
    </row>
    <row r="19" spans="1:30" x14ac:dyDescent="0.25">
      <c r="A19" s="86" t="s">
        <v>69</v>
      </c>
      <c r="B19" s="87">
        <v>4</v>
      </c>
      <c r="C19" s="86" t="s">
        <v>64</v>
      </c>
      <c r="D19" s="86" t="s">
        <v>70</v>
      </c>
      <c r="E19" s="87">
        <v>4</v>
      </c>
      <c r="F19" s="87">
        <f t="shared" si="4"/>
        <v>4</v>
      </c>
      <c r="G19" s="87">
        <v>3</v>
      </c>
      <c r="H19" s="87">
        <v>3</v>
      </c>
      <c r="I19" s="87">
        <v>1</v>
      </c>
      <c r="J19" s="87">
        <v>1</v>
      </c>
      <c r="K19" s="87">
        <v>1</v>
      </c>
      <c r="L19" s="87">
        <v>1</v>
      </c>
      <c r="AC19" s="87" t="str">
        <f t="shared" si="5"/>
        <v/>
      </c>
      <c r="AD19" s="87" t="str">
        <f t="shared" si="5"/>
        <v/>
      </c>
    </row>
    <row r="20" spans="1:30" x14ac:dyDescent="0.25">
      <c r="A20" s="86" t="s">
        <v>71</v>
      </c>
      <c r="B20" s="87">
        <v>4</v>
      </c>
      <c r="C20" s="86" t="s">
        <v>68</v>
      </c>
      <c r="D20" s="86" t="s">
        <v>70</v>
      </c>
      <c r="E20" s="87">
        <v>4</v>
      </c>
      <c r="F20" s="87">
        <f t="shared" si="4"/>
        <v>4</v>
      </c>
      <c r="G20" s="87">
        <f t="shared" si="4"/>
        <v>4</v>
      </c>
      <c r="H20" s="87">
        <f t="shared" si="4"/>
        <v>4</v>
      </c>
      <c r="I20" s="87">
        <f t="shared" si="4"/>
        <v>4</v>
      </c>
      <c r="J20" s="87">
        <f t="shared" si="4"/>
        <v>4</v>
      </c>
      <c r="K20" s="87">
        <v>3</v>
      </c>
      <c r="L20" s="87">
        <v>3</v>
      </c>
      <c r="AC20" s="87" t="str">
        <f t="shared" si="5"/>
        <v/>
      </c>
      <c r="AD20" s="87" t="str">
        <f t="shared" si="5"/>
        <v/>
      </c>
    </row>
    <row r="21" spans="1:30" x14ac:dyDescent="0.25">
      <c r="A21" s="86" t="s">
        <v>72</v>
      </c>
      <c r="B21" s="87">
        <v>4</v>
      </c>
      <c r="C21" s="86" t="s">
        <v>61</v>
      </c>
      <c r="D21" s="86" t="s">
        <v>62</v>
      </c>
      <c r="E21" s="87">
        <v>2</v>
      </c>
      <c r="F21" s="87">
        <f t="shared" si="4"/>
        <v>2</v>
      </c>
      <c r="G21" s="87">
        <v>2</v>
      </c>
      <c r="H21" s="87">
        <v>2</v>
      </c>
      <c r="I21" s="87">
        <v>0</v>
      </c>
      <c r="AC21" s="87" t="str">
        <f t="shared" si="5"/>
        <v/>
      </c>
      <c r="AD21" s="87" t="str">
        <f t="shared" si="5"/>
        <v/>
      </c>
    </row>
    <row r="22" spans="1:30" x14ac:dyDescent="0.25">
      <c r="A22" s="86" t="s">
        <v>73</v>
      </c>
      <c r="B22" s="87">
        <v>4</v>
      </c>
      <c r="C22" s="86" t="s">
        <v>61</v>
      </c>
      <c r="D22" s="86" t="s">
        <v>70</v>
      </c>
      <c r="E22" s="87">
        <v>5</v>
      </c>
      <c r="F22" s="87">
        <f t="shared" si="4"/>
        <v>5</v>
      </c>
      <c r="G22" s="87">
        <v>5</v>
      </c>
      <c r="H22" s="87">
        <f t="shared" ref="H22:I33" si="6">IF(OR(H$14="",$E22=""),"",G22)</f>
        <v>5</v>
      </c>
      <c r="I22" s="87">
        <v>5</v>
      </c>
      <c r="J22" s="87">
        <f t="shared" ref="J22:K33" si="7">IF(OR(J$14="",$E22=""),"",I22)</f>
        <v>5</v>
      </c>
      <c r="K22" s="87">
        <v>5</v>
      </c>
      <c r="L22" s="87">
        <f t="shared" ref="L22:L33" si="8">IF(OR(L$14="",$E22=""),"",K22)</f>
        <v>5</v>
      </c>
      <c r="AC22" s="87" t="str">
        <f t="shared" si="5"/>
        <v/>
      </c>
      <c r="AD22" s="87" t="str">
        <f t="shared" si="5"/>
        <v/>
      </c>
    </row>
    <row r="23" spans="1:30" x14ac:dyDescent="0.25">
      <c r="A23" s="86" t="s">
        <v>74</v>
      </c>
      <c r="B23" s="87">
        <v>4</v>
      </c>
      <c r="C23" s="86" t="s">
        <v>66</v>
      </c>
      <c r="D23" s="86" t="s">
        <v>70</v>
      </c>
      <c r="E23" s="87">
        <v>4</v>
      </c>
      <c r="F23" s="87">
        <f t="shared" si="4"/>
        <v>4</v>
      </c>
      <c r="G23" s="87">
        <f t="shared" si="4"/>
        <v>4</v>
      </c>
      <c r="H23" s="87">
        <f t="shared" si="6"/>
        <v>4</v>
      </c>
      <c r="I23" s="87">
        <f t="shared" si="6"/>
        <v>4</v>
      </c>
      <c r="J23" s="87">
        <f t="shared" si="7"/>
        <v>4</v>
      </c>
      <c r="K23" s="87">
        <f t="shared" si="7"/>
        <v>4</v>
      </c>
      <c r="L23" s="87">
        <f t="shared" si="8"/>
        <v>4</v>
      </c>
      <c r="AC23" s="87" t="str">
        <f t="shared" si="5"/>
        <v/>
      </c>
      <c r="AD23" s="87" t="str">
        <f t="shared" si="5"/>
        <v/>
      </c>
    </row>
    <row r="24" spans="1:30" x14ac:dyDescent="0.25">
      <c r="A24" s="86" t="s">
        <v>75</v>
      </c>
      <c r="B24" s="87">
        <v>4</v>
      </c>
      <c r="C24" s="86" t="s">
        <v>68</v>
      </c>
      <c r="D24" s="86" t="s">
        <v>62</v>
      </c>
      <c r="E24" s="87">
        <v>4</v>
      </c>
      <c r="F24" s="87">
        <f t="shared" si="4"/>
        <v>4</v>
      </c>
      <c r="G24" s="87">
        <v>4</v>
      </c>
      <c r="H24" s="87">
        <f t="shared" si="6"/>
        <v>4</v>
      </c>
      <c r="I24" s="87">
        <v>4</v>
      </c>
      <c r="J24" s="87">
        <f t="shared" si="7"/>
        <v>4</v>
      </c>
      <c r="K24" s="87">
        <v>0</v>
      </c>
      <c r="AC24" s="87" t="str">
        <f t="shared" si="5"/>
        <v/>
      </c>
      <c r="AD24" s="87" t="str">
        <f t="shared" si="5"/>
        <v/>
      </c>
    </row>
    <row r="25" spans="1:30" x14ac:dyDescent="0.25">
      <c r="A25" s="86" t="s">
        <v>76</v>
      </c>
      <c r="B25" s="87">
        <v>4</v>
      </c>
      <c r="C25" s="86" t="s">
        <v>64</v>
      </c>
      <c r="D25" s="86" t="str">
        <f t="shared" ref="D25:D59" si="9">IF(A25&lt;&gt;"","Planned","")</f>
        <v>Planned</v>
      </c>
      <c r="E25" s="87">
        <v>6</v>
      </c>
      <c r="F25" s="87">
        <f t="shared" si="4"/>
        <v>6</v>
      </c>
      <c r="G25" s="87">
        <v>6</v>
      </c>
      <c r="H25" s="87">
        <f t="shared" si="6"/>
        <v>6</v>
      </c>
      <c r="I25" s="87">
        <v>6</v>
      </c>
      <c r="J25" s="87">
        <f t="shared" si="7"/>
        <v>6</v>
      </c>
      <c r="K25" s="87">
        <v>6</v>
      </c>
      <c r="L25" s="87">
        <f t="shared" si="8"/>
        <v>6</v>
      </c>
      <c r="AC25" s="87" t="str">
        <f t="shared" si="5"/>
        <v/>
      </c>
      <c r="AD25" s="87" t="str">
        <f t="shared" si="5"/>
        <v/>
      </c>
    </row>
    <row r="26" spans="1:30" x14ac:dyDescent="0.25">
      <c r="A26" s="86" t="s">
        <v>77</v>
      </c>
      <c r="B26" s="87">
        <v>4</v>
      </c>
      <c r="C26" s="86" t="s">
        <v>61</v>
      </c>
      <c r="D26" s="86" t="str">
        <f t="shared" si="9"/>
        <v>Planned</v>
      </c>
      <c r="F26" s="87" t="str">
        <f t="shared" si="4"/>
        <v/>
      </c>
      <c r="H26" s="87" t="str">
        <f t="shared" si="6"/>
        <v/>
      </c>
      <c r="J26" s="87" t="str">
        <f t="shared" si="7"/>
        <v/>
      </c>
      <c r="L26" s="87" t="str">
        <f t="shared" si="8"/>
        <v/>
      </c>
      <c r="AC26" s="87" t="str">
        <f t="shared" si="5"/>
        <v/>
      </c>
      <c r="AD26" s="87" t="str">
        <f t="shared" si="5"/>
        <v/>
      </c>
    </row>
    <row r="27" spans="1:30" x14ac:dyDescent="0.25">
      <c r="B27" s="87">
        <v>4</v>
      </c>
      <c r="D27" s="86" t="str">
        <f t="shared" si="9"/>
        <v/>
      </c>
      <c r="F27" s="87" t="str">
        <f t="shared" si="4"/>
        <v/>
      </c>
      <c r="H27" s="87" t="str">
        <f t="shared" si="6"/>
        <v/>
      </c>
      <c r="J27" s="87" t="str">
        <f t="shared" si="7"/>
        <v/>
      </c>
      <c r="L27" s="87" t="str">
        <f t="shared" si="8"/>
        <v/>
      </c>
      <c r="AC27" s="87" t="str">
        <f t="shared" si="5"/>
        <v/>
      </c>
      <c r="AD27" s="87" t="str">
        <f t="shared" si="5"/>
        <v/>
      </c>
    </row>
    <row r="28" spans="1:30" x14ac:dyDescent="0.25">
      <c r="B28" s="87">
        <v>4</v>
      </c>
      <c r="D28" s="86" t="str">
        <f t="shared" si="9"/>
        <v/>
      </c>
      <c r="H28" s="87" t="str">
        <f t="shared" si="6"/>
        <v/>
      </c>
      <c r="J28" s="87" t="str">
        <f t="shared" si="7"/>
        <v/>
      </c>
      <c r="L28" s="87" t="str">
        <f t="shared" si="8"/>
        <v/>
      </c>
      <c r="AC28" s="87" t="str">
        <f t="shared" si="5"/>
        <v/>
      </c>
      <c r="AD28" s="87" t="str">
        <f t="shared" si="5"/>
        <v/>
      </c>
    </row>
    <row r="29" spans="1:30" x14ac:dyDescent="0.25">
      <c r="A29" s="86" t="s">
        <v>78</v>
      </c>
      <c r="B29" s="87">
        <v>4</v>
      </c>
      <c r="C29" s="86" t="s">
        <v>68</v>
      </c>
      <c r="D29" s="86" t="str">
        <f t="shared" si="9"/>
        <v>Planned</v>
      </c>
      <c r="E29" s="87">
        <v>2</v>
      </c>
      <c r="F29" s="87">
        <v>2</v>
      </c>
      <c r="G29" s="87">
        <v>2</v>
      </c>
      <c r="H29" s="87">
        <v>2</v>
      </c>
      <c r="I29" s="87">
        <v>2</v>
      </c>
      <c r="J29" s="87">
        <v>2</v>
      </c>
      <c r="K29" s="87">
        <v>2</v>
      </c>
      <c r="L29" s="87">
        <v>2</v>
      </c>
      <c r="AC29" s="87" t="str">
        <f t="shared" si="5"/>
        <v/>
      </c>
      <c r="AD29" s="87" t="str">
        <f t="shared" si="5"/>
        <v/>
      </c>
    </row>
    <row r="30" spans="1:30" x14ac:dyDescent="0.25">
      <c r="A30" s="86" t="s">
        <v>79</v>
      </c>
      <c r="B30" s="87">
        <v>4</v>
      </c>
      <c r="C30" s="86" t="s">
        <v>66</v>
      </c>
      <c r="D30" s="86" t="str">
        <f t="shared" si="9"/>
        <v>Planned</v>
      </c>
      <c r="E30" s="87">
        <v>3</v>
      </c>
      <c r="F30" s="87">
        <v>3</v>
      </c>
      <c r="G30" s="87">
        <v>3</v>
      </c>
      <c r="H30" s="87">
        <v>3</v>
      </c>
      <c r="I30" s="87">
        <v>3</v>
      </c>
      <c r="J30" s="87">
        <v>3</v>
      </c>
      <c r="K30" s="87">
        <v>3</v>
      </c>
      <c r="L30" s="87">
        <v>3</v>
      </c>
      <c r="AC30" s="87" t="str">
        <f t="shared" si="5"/>
        <v/>
      </c>
      <c r="AD30" s="87" t="str">
        <f t="shared" si="5"/>
        <v/>
      </c>
    </row>
    <row r="31" spans="1:30" x14ac:dyDescent="0.25">
      <c r="A31" s="86" t="s">
        <v>80</v>
      </c>
      <c r="B31" s="87">
        <v>4</v>
      </c>
      <c r="C31" s="86" t="s">
        <v>64</v>
      </c>
      <c r="D31" s="86" t="str">
        <f>IF(A31&lt;&gt;"","Planned","")</f>
        <v>Planned</v>
      </c>
      <c r="E31" s="87">
        <v>5</v>
      </c>
      <c r="F31" s="87">
        <v>5</v>
      </c>
      <c r="G31" s="87">
        <v>5</v>
      </c>
      <c r="H31" s="87">
        <v>5</v>
      </c>
      <c r="I31" s="87">
        <v>5</v>
      </c>
      <c r="J31" s="87">
        <v>5</v>
      </c>
      <c r="K31" s="87">
        <v>5</v>
      </c>
      <c r="L31" s="87">
        <v>5</v>
      </c>
      <c r="AC31" s="87" t="str">
        <f t="shared" si="5"/>
        <v/>
      </c>
      <c r="AD31" s="87" t="str">
        <f t="shared" si="5"/>
        <v/>
      </c>
    </row>
    <row r="32" spans="1:30" x14ac:dyDescent="0.25">
      <c r="D32" s="86" t="str">
        <f t="shared" si="9"/>
        <v/>
      </c>
      <c r="F32" s="87" t="str">
        <f t="shared" si="4"/>
        <v/>
      </c>
      <c r="H32" s="87" t="str">
        <f t="shared" si="6"/>
        <v/>
      </c>
      <c r="J32" s="87" t="str">
        <f t="shared" si="7"/>
        <v/>
      </c>
      <c r="L32" s="87" t="str">
        <f t="shared" si="8"/>
        <v/>
      </c>
      <c r="AC32" s="87" t="str">
        <f t="shared" si="5"/>
        <v/>
      </c>
      <c r="AD32" s="87" t="str">
        <f t="shared" si="5"/>
        <v/>
      </c>
    </row>
    <row r="33" spans="4:30" x14ac:dyDescent="0.25">
      <c r="D33" s="86" t="str">
        <f t="shared" si="9"/>
        <v/>
      </c>
      <c r="F33" s="87" t="str">
        <f t="shared" si="4"/>
        <v/>
      </c>
      <c r="H33" s="87" t="str">
        <f t="shared" si="6"/>
        <v/>
      </c>
      <c r="J33" s="87" t="str">
        <f t="shared" si="7"/>
        <v/>
      </c>
      <c r="L33" s="87" t="str">
        <f t="shared" si="8"/>
        <v/>
      </c>
      <c r="AC33" s="87" t="str">
        <f t="shared" si="5"/>
        <v/>
      </c>
      <c r="AD33" s="87" t="str">
        <f t="shared" si="5"/>
        <v/>
      </c>
    </row>
    <row r="34" spans="4:30" x14ac:dyDescent="0.25">
      <c r="D34" s="86" t="str">
        <f>IF(A34&lt;&gt;"","Planned","")</f>
        <v/>
      </c>
      <c r="AC34" s="87" t="str">
        <f t="shared" si="5"/>
        <v/>
      </c>
      <c r="AD34" s="87" t="str">
        <f t="shared" si="5"/>
        <v/>
      </c>
    </row>
    <row r="35" spans="4:30" x14ac:dyDescent="0.25">
      <c r="D35" s="86" t="str">
        <f>IF(A35&lt;&gt;"","Planned","")</f>
        <v/>
      </c>
      <c r="AC35" s="87" t="str">
        <f t="shared" si="5"/>
        <v/>
      </c>
      <c r="AD35" s="87" t="str">
        <f t="shared" si="5"/>
        <v/>
      </c>
    </row>
    <row r="36" spans="4:30" x14ac:dyDescent="0.25">
      <c r="D36" s="86" t="str">
        <f>IF(A36&lt;&gt;"","Planned","")</f>
        <v/>
      </c>
      <c r="AC36" s="87" t="str">
        <f t="shared" ref="AC36:AD55" si="10">IF(OR(AC$14="",$E36=""),"",AB36)</f>
        <v/>
      </c>
      <c r="AD36" s="87" t="str">
        <f t="shared" si="10"/>
        <v/>
      </c>
    </row>
    <row r="37" spans="4:30" x14ac:dyDescent="0.25">
      <c r="D37" s="86" t="str">
        <f t="shared" si="9"/>
        <v/>
      </c>
      <c r="F37" s="87" t="str">
        <f t="shared" si="4"/>
        <v/>
      </c>
      <c r="AC37" s="87" t="str">
        <f t="shared" si="10"/>
        <v/>
      </c>
      <c r="AD37" s="87" t="str">
        <f t="shared" si="10"/>
        <v/>
      </c>
    </row>
    <row r="38" spans="4:30" x14ac:dyDescent="0.25">
      <c r="D38" s="86" t="str">
        <f t="shared" si="9"/>
        <v/>
      </c>
      <c r="F38" s="87" t="str">
        <f t="shared" si="4"/>
        <v/>
      </c>
      <c r="AC38" s="87" t="str">
        <f t="shared" si="10"/>
        <v/>
      </c>
      <c r="AD38" s="87" t="str">
        <f t="shared" si="10"/>
        <v/>
      </c>
    </row>
    <row r="39" spans="4:30" x14ac:dyDescent="0.25">
      <c r="D39" s="86" t="str">
        <f t="shared" si="9"/>
        <v/>
      </c>
      <c r="F39" s="87" t="str">
        <f t="shared" si="4"/>
        <v/>
      </c>
      <c r="AC39" s="87" t="str">
        <f t="shared" si="10"/>
        <v/>
      </c>
      <c r="AD39" s="87" t="str">
        <f t="shared" si="10"/>
        <v/>
      </c>
    </row>
    <row r="40" spans="4:30" x14ac:dyDescent="0.25">
      <c r="D40" s="86" t="str">
        <f t="shared" si="9"/>
        <v/>
      </c>
      <c r="F40" s="87" t="str">
        <f t="shared" si="4"/>
        <v/>
      </c>
      <c r="AC40" s="87" t="str">
        <f t="shared" si="10"/>
        <v/>
      </c>
      <c r="AD40" s="87" t="str">
        <f t="shared" si="10"/>
        <v/>
      </c>
    </row>
    <row r="41" spans="4:30" x14ac:dyDescent="0.25">
      <c r="D41" s="86" t="str">
        <f t="shared" si="9"/>
        <v/>
      </c>
      <c r="F41" s="87" t="str">
        <f t="shared" si="4"/>
        <v/>
      </c>
      <c r="AC41" s="87" t="str">
        <f t="shared" si="10"/>
        <v/>
      </c>
      <c r="AD41" s="87" t="str">
        <f t="shared" si="10"/>
        <v/>
      </c>
    </row>
    <row r="42" spans="4:30" x14ac:dyDescent="0.25">
      <c r="D42" s="86" t="str">
        <f t="shared" si="9"/>
        <v/>
      </c>
      <c r="F42" s="87" t="str">
        <f t="shared" si="4"/>
        <v/>
      </c>
      <c r="AC42" s="87" t="str">
        <f t="shared" si="10"/>
        <v/>
      </c>
      <c r="AD42" s="87" t="str">
        <f t="shared" si="10"/>
        <v/>
      </c>
    </row>
    <row r="43" spans="4:30" x14ac:dyDescent="0.25">
      <c r="D43" s="86" t="str">
        <f t="shared" si="9"/>
        <v/>
      </c>
      <c r="F43" s="87" t="str">
        <f t="shared" si="4"/>
        <v/>
      </c>
      <c r="AC43" s="87" t="str">
        <f t="shared" si="10"/>
        <v/>
      </c>
      <c r="AD43" s="87" t="str">
        <f t="shared" si="10"/>
        <v/>
      </c>
    </row>
    <row r="44" spans="4:30" x14ac:dyDescent="0.25">
      <c r="D44" s="86" t="str">
        <f t="shared" si="9"/>
        <v/>
      </c>
      <c r="F44" s="87" t="str">
        <f t="shared" si="4"/>
        <v/>
      </c>
      <c r="AC44" s="87" t="str">
        <f t="shared" si="10"/>
        <v/>
      </c>
      <c r="AD44" s="87" t="str">
        <f t="shared" si="10"/>
        <v/>
      </c>
    </row>
    <row r="45" spans="4:30" x14ac:dyDescent="0.25">
      <c r="D45" s="86" t="str">
        <f t="shared" si="9"/>
        <v/>
      </c>
      <c r="F45" s="87" t="str">
        <f t="shared" si="4"/>
        <v/>
      </c>
      <c r="AC45" s="87" t="str">
        <f t="shared" si="10"/>
        <v/>
      </c>
      <c r="AD45" s="87" t="str">
        <f t="shared" si="10"/>
        <v/>
      </c>
    </row>
    <row r="46" spans="4:30" x14ac:dyDescent="0.25">
      <c r="D46" s="86" t="str">
        <f t="shared" si="9"/>
        <v/>
      </c>
      <c r="F46" s="87" t="str">
        <f t="shared" si="4"/>
        <v/>
      </c>
      <c r="AC46" s="87" t="str">
        <f t="shared" si="10"/>
        <v/>
      </c>
      <c r="AD46" s="87" t="str">
        <f t="shared" si="10"/>
        <v/>
      </c>
    </row>
    <row r="47" spans="4:30" x14ac:dyDescent="0.25">
      <c r="D47" s="86" t="str">
        <f t="shared" si="9"/>
        <v/>
      </c>
      <c r="F47" s="87" t="str">
        <f t="shared" si="4"/>
        <v/>
      </c>
      <c r="AC47" s="87" t="str">
        <f t="shared" si="10"/>
        <v/>
      </c>
      <c r="AD47" s="87" t="str">
        <f t="shared" si="10"/>
        <v/>
      </c>
    </row>
    <row r="48" spans="4:30" x14ac:dyDescent="0.25">
      <c r="D48" s="86" t="str">
        <f t="shared" si="9"/>
        <v/>
      </c>
      <c r="F48" s="87" t="str">
        <f t="shared" si="4"/>
        <v/>
      </c>
      <c r="AC48" s="87" t="str">
        <f t="shared" si="10"/>
        <v/>
      </c>
      <c r="AD48" s="87" t="str">
        <f t="shared" si="10"/>
        <v/>
      </c>
    </row>
    <row r="49" spans="4:30" x14ac:dyDescent="0.25">
      <c r="D49" s="86" t="str">
        <f t="shared" si="9"/>
        <v/>
      </c>
      <c r="F49" s="87" t="str">
        <f t="shared" si="4"/>
        <v/>
      </c>
      <c r="AC49" s="87" t="str">
        <f t="shared" si="10"/>
        <v/>
      </c>
      <c r="AD49" s="87" t="str">
        <f t="shared" si="10"/>
        <v/>
      </c>
    </row>
    <row r="50" spans="4:30" x14ac:dyDescent="0.25">
      <c r="D50" s="86" t="str">
        <f t="shared" si="9"/>
        <v/>
      </c>
      <c r="F50" s="87" t="str">
        <f t="shared" si="4"/>
        <v/>
      </c>
      <c r="AC50" s="87" t="str">
        <f t="shared" si="10"/>
        <v/>
      </c>
      <c r="AD50" s="87" t="str">
        <f t="shared" si="10"/>
        <v/>
      </c>
    </row>
    <row r="51" spans="4:30" x14ac:dyDescent="0.25">
      <c r="D51" s="86" t="str">
        <f t="shared" si="9"/>
        <v/>
      </c>
      <c r="F51" s="87" t="str">
        <f t="shared" si="4"/>
        <v/>
      </c>
      <c r="AC51" s="87" t="str">
        <f t="shared" si="10"/>
        <v/>
      </c>
      <c r="AD51" s="87" t="str">
        <f t="shared" si="10"/>
        <v/>
      </c>
    </row>
    <row r="52" spans="4:30" x14ac:dyDescent="0.25">
      <c r="D52" s="86" t="str">
        <f t="shared" si="9"/>
        <v/>
      </c>
      <c r="F52" s="87" t="str">
        <f t="shared" si="4"/>
        <v/>
      </c>
      <c r="AC52" s="87" t="str">
        <f t="shared" si="10"/>
        <v/>
      </c>
      <c r="AD52" s="87" t="str">
        <f t="shared" si="10"/>
        <v/>
      </c>
    </row>
    <row r="53" spans="4:30" x14ac:dyDescent="0.25">
      <c r="D53" s="86" t="str">
        <f t="shared" si="9"/>
        <v/>
      </c>
      <c r="F53" s="87" t="str">
        <f t="shared" si="4"/>
        <v/>
      </c>
      <c r="AC53" s="87" t="str">
        <f t="shared" si="10"/>
        <v/>
      </c>
      <c r="AD53" s="87" t="str">
        <f t="shared" si="10"/>
        <v/>
      </c>
    </row>
    <row r="54" spans="4:30" x14ac:dyDescent="0.25">
      <c r="D54" s="86" t="str">
        <f t="shared" si="9"/>
        <v/>
      </c>
      <c r="F54" s="87" t="str">
        <f t="shared" si="4"/>
        <v/>
      </c>
      <c r="AC54" s="87" t="str">
        <f t="shared" si="10"/>
        <v/>
      </c>
      <c r="AD54" s="87" t="str">
        <f t="shared" si="10"/>
        <v/>
      </c>
    </row>
    <row r="55" spans="4:30" x14ac:dyDescent="0.25">
      <c r="D55" s="86" t="str">
        <f t="shared" si="9"/>
        <v/>
      </c>
      <c r="F55" s="87" t="str">
        <f t="shared" si="4"/>
        <v/>
      </c>
      <c r="AC55" s="87" t="str">
        <f t="shared" si="10"/>
        <v/>
      </c>
      <c r="AD55" s="87" t="str">
        <f t="shared" si="10"/>
        <v/>
      </c>
    </row>
    <row r="56" spans="4:30" x14ac:dyDescent="0.25">
      <c r="D56" s="86" t="str">
        <f t="shared" si="9"/>
        <v/>
      </c>
      <c r="F56" s="87" t="str">
        <f t="shared" si="4"/>
        <v/>
      </c>
      <c r="AC56" s="87" t="str">
        <f t="shared" ref="AC56:AD59" si="11">IF(OR(AC$14="",$E56=""),"",AB56)</f>
        <v/>
      </c>
      <c r="AD56" s="87" t="str">
        <f t="shared" si="11"/>
        <v/>
      </c>
    </row>
    <row r="57" spans="4:30" x14ac:dyDescent="0.25">
      <c r="D57" s="86" t="str">
        <f t="shared" si="9"/>
        <v/>
      </c>
      <c r="F57" s="87" t="str">
        <f t="shared" si="4"/>
        <v/>
      </c>
      <c r="AC57" s="87" t="str">
        <f t="shared" si="11"/>
        <v/>
      </c>
      <c r="AD57" s="87" t="str">
        <f t="shared" si="11"/>
        <v/>
      </c>
    </row>
    <row r="58" spans="4:30" x14ac:dyDescent="0.25">
      <c r="D58" s="86" t="str">
        <f t="shared" si="9"/>
        <v/>
      </c>
      <c r="F58" s="87" t="str">
        <f t="shared" si="4"/>
        <v/>
      </c>
      <c r="G58" s="87" t="str">
        <f t="shared" si="4"/>
        <v/>
      </c>
      <c r="H58" s="87" t="str">
        <f t="shared" si="4"/>
        <v/>
      </c>
      <c r="I58" s="87" t="str">
        <f t="shared" si="4"/>
        <v/>
      </c>
      <c r="J58" s="87" t="str">
        <f t="shared" si="4"/>
        <v/>
      </c>
      <c r="K58" s="87" t="str">
        <f t="shared" si="4"/>
        <v/>
      </c>
      <c r="L58" s="87" t="str">
        <f t="shared" si="4"/>
        <v/>
      </c>
      <c r="M58" s="87" t="str">
        <f t="shared" si="4"/>
        <v/>
      </c>
      <c r="N58" s="87" t="str">
        <f t="shared" si="4"/>
        <v/>
      </c>
      <c r="O58" s="87" t="str">
        <f t="shared" si="4"/>
        <v/>
      </c>
      <c r="P58" s="87" t="str">
        <f t="shared" si="4"/>
        <v/>
      </c>
      <c r="Q58" s="87" t="str">
        <f t="shared" si="4"/>
        <v/>
      </c>
      <c r="R58" s="87" t="str">
        <f t="shared" si="4"/>
        <v/>
      </c>
      <c r="S58" s="87" t="str">
        <f t="shared" si="4"/>
        <v/>
      </c>
      <c r="T58" s="87" t="str">
        <f t="shared" si="4"/>
        <v/>
      </c>
      <c r="U58" s="87" t="str">
        <f t="shared" si="4"/>
        <v/>
      </c>
      <c r="V58" s="87" t="str">
        <f t="shared" ref="V58:AB59" si="12">IF(OR(V$14="",$E58=""),"",U58)</f>
        <v/>
      </c>
      <c r="W58" s="87" t="str">
        <f t="shared" si="12"/>
        <v/>
      </c>
      <c r="X58" s="87" t="str">
        <f t="shared" si="12"/>
        <v/>
      </c>
      <c r="Y58" s="87" t="str">
        <f t="shared" si="12"/>
        <v/>
      </c>
      <c r="Z58" s="87" t="str">
        <f t="shared" si="12"/>
        <v/>
      </c>
      <c r="AA58" s="87" t="str">
        <f t="shared" si="12"/>
        <v/>
      </c>
      <c r="AB58" s="87" t="str">
        <f t="shared" si="12"/>
        <v/>
      </c>
      <c r="AC58" s="87" t="str">
        <f t="shared" si="11"/>
        <v/>
      </c>
      <c r="AD58" s="87" t="str">
        <f t="shared" si="11"/>
        <v/>
      </c>
    </row>
    <row r="59" spans="4:30" x14ac:dyDescent="0.25">
      <c r="D59" s="86" t="str">
        <f t="shared" si="9"/>
        <v/>
      </c>
      <c r="F59" s="87" t="str">
        <f t="shared" si="4"/>
        <v/>
      </c>
      <c r="G59" s="87" t="str">
        <f t="shared" si="4"/>
        <v/>
      </c>
      <c r="H59" s="87" t="str">
        <f t="shared" si="4"/>
        <v/>
      </c>
      <c r="I59" s="87" t="str">
        <f t="shared" si="4"/>
        <v/>
      </c>
      <c r="J59" s="87" t="str">
        <f t="shared" si="4"/>
        <v/>
      </c>
      <c r="K59" s="87" t="str">
        <f t="shared" si="4"/>
        <v/>
      </c>
      <c r="L59" s="87" t="str">
        <f t="shared" si="4"/>
        <v/>
      </c>
      <c r="M59" s="87" t="str">
        <f t="shared" si="4"/>
        <v/>
      </c>
      <c r="N59" s="87" t="str">
        <f t="shared" si="4"/>
        <v/>
      </c>
      <c r="O59" s="87" t="str">
        <f t="shared" si="4"/>
        <v/>
      </c>
      <c r="P59" s="87" t="str">
        <f t="shared" si="4"/>
        <v/>
      </c>
      <c r="Q59" s="87" t="str">
        <f t="shared" si="4"/>
        <v/>
      </c>
      <c r="R59" s="87" t="str">
        <f t="shared" si="4"/>
        <v/>
      </c>
      <c r="S59" s="87" t="str">
        <f t="shared" si="4"/>
        <v/>
      </c>
      <c r="T59" s="87" t="str">
        <f t="shared" si="4"/>
        <v/>
      </c>
      <c r="U59" s="87" t="str">
        <f t="shared" si="4"/>
        <v/>
      </c>
      <c r="V59" s="87" t="str">
        <f t="shared" si="12"/>
        <v/>
      </c>
      <c r="W59" s="87" t="str">
        <f t="shared" si="12"/>
        <v/>
      </c>
      <c r="X59" s="87" t="str">
        <f t="shared" si="12"/>
        <v/>
      </c>
      <c r="Y59" s="87" t="str">
        <f t="shared" si="12"/>
        <v/>
      </c>
      <c r="Z59" s="87" t="str">
        <f t="shared" si="12"/>
        <v/>
      </c>
      <c r="AA59" s="87" t="str">
        <f t="shared" si="12"/>
        <v/>
      </c>
      <c r="AB59" s="87" t="str">
        <f t="shared" si="12"/>
        <v/>
      </c>
      <c r="AC59" s="87" t="str">
        <f t="shared" si="11"/>
        <v/>
      </c>
      <c r="AD59" s="87" t="str">
        <f t="shared" si="11"/>
        <v/>
      </c>
    </row>
    <row r="64" spans="4:30" x14ac:dyDescent="0.25">
      <c r="D64" s="86" t="str">
        <f>IF(A64&lt;&gt;"","Planned","")</f>
        <v/>
      </c>
    </row>
  </sheetData>
  <conditionalFormatting sqref="A37:AD58 J15:AD18 A19:A36 C19:AD36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5 A16:A18 C16:I18 B16:B36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53B8B9DA-EF08-41B9-AF93-36DCA1255423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F54D1461055844A559327DEE83FECE" ma:contentTypeVersion="4" ma:contentTypeDescription="Create a new document." ma:contentTypeScope="" ma:versionID="507eb1874cc9f226a3286654a4368ca3">
  <xsd:schema xmlns:xsd="http://www.w3.org/2001/XMLSchema" xmlns:xs="http://www.w3.org/2001/XMLSchema" xmlns:p="http://schemas.microsoft.com/office/2006/metadata/properties" xmlns:ns3="0c7f2a8d-b5b8-40d5-8664-8a5ce4c63190" targetNamespace="http://schemas.microsoft.com/office/2006/metadata/properties" ma:root="true" ma:fieldsID="6a2ae00891cfddd806cff2afbbc50e1a" ns3:_="">
    <xsd:import namespace="0c7f2a8d-b5b8-40d5-8664-8a5ce4c631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7f2a8d-b5b8-40d5-8664-8a5ce4c631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308E11-8C76-4E56-8586-2C7226028E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D8184F-26F1-42A2-984E-2EAC53DAD0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7f2a8d-b5b8-40d5-8664-8a5ce4c631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7192DE-64C0-4501-8538-31C37BB4FEB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Release Plan</vt:lpstr>
      <vt:lpstr>Product Backlog</vt:lpstr>
      <vt:lpstr>Historias de usuario</vt:lpstr>
      <vt:lpstr>Backlog oficial</vt:lpstr>
      <vt:lpstr>Backlog de ejemplo</vt:lpstr>
      <vt:lpstr>'Product Backlog'!Área_de_impresión</vt:lpstr>
      <vt:lpstr>'Backlog de ejemplo'!DoneDays</vt:lpstr>
      <vt:lpstr>'Backlog oficial'!DoneDays</vt:lpstr>
      <vt:lpstr>'Backlog de ejemplo'!ImplementationDays</vt:lpstr>
      <vt:lpstr>'Backlog oficial'!ImplementationDays</vt:lpstr>
      <vt:lpstr>ProductBacklog</vt:lpstr>
      <vt:lpstr>Sprint</vt:lpstr>
      <vt:lpstr>'Backlog de ejemplo'!SprintTasks</vt:lpstr>
      <vt:lpstr>SprintTasks</vt:lpstr>
      <vt:lpstr>Status</vt:lpstr>
      <vt:lpstr>StoryName</vt:lpstr>
      <vt:lpstr>'Backlog de ejemplo'!TaskRows</vt:lpstr>
      <vt:lpstr>'Backlog oficial'!TaskRows</vt:lpstr>
      <vt:lpstr>'Backlog de ejemplo'!TaskStatus</vt:lpstr>
      <vt:lpstr>TaskStatus</vt:lpstr>
      <vt:lpstr>'Backlog de ejemplo'!TaskStoryID</vt:lpstr>
      <vt:lpstr>TaskStoryID</vt:lpstr>
      <vt:lpstr>'Backlog de ejemplo'!TotalEffort</vt:lpstr>
      <vt:lpstr>'Backlog oficial'!TotalEffort</vt:lpstr>
      <vt:lpstr>'Backlog de ejemplo'!TrendDays</vt:lpstr>
      <vt:lpstr>TrendDays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Lucciano Prado</cp:lastModifiedBy>
  <cp:revision>1</cp:revision>
  <dcterms:created xsi:type="dcterms:W3CDTF">1998-06-05T11:20:44Z</dcterms:created>
  <dcterms:modified xsi:type="dcterms:W3CDTF">2020-09-19T23:04:30Z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0x01010028F54D1461055844A559327DEE83FECE</vt:lpwstr>
  </property>
</Properties>
</file>